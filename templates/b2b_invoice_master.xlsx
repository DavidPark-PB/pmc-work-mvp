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722" sheetId="1" r:id="rId5"/>
    <sheet state="visible" name="0625" sheetId="2" r:id="rId6"/>
    <sheet state="visible" name="0615" sheetId="3" r:id="rId7"/>
    <sheet state="visible" name="0527" sheetId="4" r:id="rId8"/>
    <sheet state="visible" name="0424" sheetId="5" r:id="rId9"/>
    <sheet state="visible" name="0414" sheetId="6" r:id="rId10"/>
    <sheet state="visible" name="0403" sheetId="7" r:id="rId11"/>
    <sheet state="visible" name="0318" sheetId="8" r:id="rId12"/>
    <sheet state="visible" name="0316" sheetId="9" r:id="rId13"/>
    <sheet state="visible" name="0305" sheetId="10" r:id="rId14"/>
    <sheet state="visible" name="0304" sheetId="11" r:id="rId15"/>
    <sheet state="visible" name="0223" sheetId="12" r:id="rId16"/>
    <sheet state="visible" name="0210" sheetId="13" r:id="rId17"/>
    <sheet state="visible" name="0203" sheetId="14" r:id="rId18"/>
    <sheet state="visible" name="0119" sheetId="15" r:id="rId19"/>
    <sheet state="visible" name="0108" sheetId="16" r:id="rId20"/>
    <sheet state="visible" name="1205" sheetId="17" r:id="rId21"/>
  </sheets>
  <definedNames/>
  <calcPr/>
</workbook>
</file>

<file path=xl/sharedStrings.xml><?xml version="1.0" encoding="utf-8"?>
<sst xmlns="http://schemas.openxmlformats.org/spreadsheetml/2006/main" count="2225" uniqueCount="267">
  <si>
    <t>PMC CORPORATION</t>
  </si>
  <si>
    <t xml:space="preserve">#309,Factory World, Samsung-rp 274,Yeongtonggu, 
Suwon-Si,  16522 South  Korea </t>
  </si>
  <si>
    <t>E-mail: info@ccorea.com</t>
  </si>
  <si>
    <t xml:space="preserve"> INVOICE</t>
  </si>
  <si>
    <t xml:space="preserve">                 </t>
  </si>
  <si>
    <t xml:space="preserve">Messrs. :Yannick-Sebastian Becker </t>
  </si>
  <si>
    <t xml:space="preserve">Stauffenbergstrasse 5, 28844 Weyhe, Germany </t>
  </si>
  <si>
    <t>no:CC260615YSB</t>
  </si>
  <si>
    <t>no:CC260722YSB</t>
  </si>
  <si>
    <t>no:CC260527YSB</t>
  </si>
  <si>
    <t>Business@cardesy.de</t>
  </si>
  <si>
    <t>no:CC260625YSB</t>
  </si>
  <si>
    <t>+49 15565 711630</t>
  </si>
  <si>
    <t>We have a pleasure to offer you the following products on terms &amp; conditions as below details:</t>
  </si>
  <si>
    <t>Date</t>
  </si>
  <si>
    <t>:</t>
  </si>
  <si>
    <t>Super Electric Breaker 16x</t>
  </si>
  <si>
    <t>May.27,2026</t>
  </si>
  <si>
    <t>Jun.15,2026</t>
  </si>
  <si>
    <t>Jul.21,2026</t>
  </si>
  <si>
    <t xml:space="preserve"> [ OPK-03 ]One Piece Card Game Booster Box  Pillars of Strength 
</t>
  </si>
  <si>
    <t>Eevee Heroes 2x</t>
  </si>
  <si>
    <t>Jun.25,2026</t>
  </si>
  <si>
    <t>Shipping terms</t>
  </si>
  <si>
    <t xml:space="preserve">FOB </t>
  </si>
  <si>
    <t>20x mega dream ex</t>
  </si>
  <si>
    <t xml:space="preserve">[ OPK-02 ] One Piece Card Game Booster Box Paramount War </t>
  </si>
  <si>
    <t>Black Bolt 20x</t>
  </si>
  <si>
    <t>Packing</t>
  </si>
  <si>
    <t>Export Standard Packing</t>
  </si>
  <si>
    <t>8x mega brave</t>
  </si>
  <si>
    <t xml:space="preserve">[ OPK-09 ]One Piece Card Game Booster Box Four Emperors
</t>
  </si>
  <si>
    <t>White Flare 27x</t>
  </si>
  <si>
    <t>Payment</t>
  </si>
  <si>
    <t>100% T/T in advance</t>
  </si>
  <si>
    <t xml:space="preserve">            </t>
  </si>
  <si>
    <t>8x Mega Symphonia</t>
  </si>
  <si>
    <t xml:space="preserve">[ EBK-01 ]One Piece Card Game Extrea Booster Box Memorial collection
</t>
  </si>
  <si>
    <t>Delivery</t>
  </si>
  <si>
    <t>Asap after payment</t>
  </si>
  <si>
    <t xml:space="preserve">    </t>
  </si>
  <si>
    <t>12x black bolt</t>
  </si>
  <si>
    <t>[ OPK-08 ]One Piece Card Game Booster Box Two Legends</t>
  </si>
  <si>
    <t>Mega Symphonia 10x</t>
  </si>
  <si>
    <t>Origin</t>
  </si>
  <si>
    <t>Republic of Korea</t>
  </si>
  <si>
    <t>12x White flare</t>
  </si>
  <si>
    <t xml:space="preserve">[ OPK-06 ] One Piece Card Game Booster Box Wings Of The Captain
</t>
  </si>
  <si>
    <t>Mega Brave 10x</t>
  </si>
  <si>
    <t>5x 151</t>
  </si>
  <si>
    <t xml:space="preserve">[ OPK-04 ]One Piece Card Game Booster Box Kingdoms of Intrigue
</t>
  </si>
  <si>
    <t>Nihil Zero 16x</t>
  </si>
  <si>
    <t>5x super electric breaker</t>
  </si>
  <si>
    <t>Ninja Spinner 16x</t>
  </si>
  <si>
    <t xml:space="preserve">[ OPK-07 ] One Piece Card Game  Booster Box 500 years in the future
</t>
  </si>
  <si>
    <t>NO.</t>
  </si>
  <si>
    <t>ITEM</t>
  </si>
  <si>
    <t>Q'ty</t>
  </si>
  <si>
    <t>Unit Price</t>
  </si>
  <si>
    <t>Paradise Dragona 3x</t>
  </si>
  <si>
    <t>Amount</t>
  </si>
  <si>
    <t>5x ruler of the black flame</t>
  </si>
  <si>
    <t>Pokemon Cards  Scarlet&amp; Violet Super Electric Breaker Booster Box sv8</t>
  </si>
  <si>
    <t>Pokemon Card Game Scarlet &amp; Violet Crimson Haze sv5a Booster Box</t>
  </si>
  <si>
    <t xml:space="preserve">[ OPK-01 ] One Piece Card Game Booster Box Romance Dawn </t>
  </si>
  <si>
    <t>Crimson Haze 6x</t>
  </si>
  <si>
    <t>Pokemon Card Game Scarlet &amp; Violet Super Electric Breaker sv8 Booster Box</t>
  </si>
  <si>
    <t>Pokemon Card  Scarlet &amp; Violet Super Electric Breaker sv8 Booster Box</t>
  </si>
  <si>
    <t>15x inferno x</t>
  </si>
  <si>
    <t xml:space="preserve">Pokemon Card Scarlet&amp;Violet Terastal Festival ex Booster Box  sv8a </t>
  </si>
  <si>
    <t xml:space="preserve">[ OPK-03 ] One Piece Card Game Booster Box Pillars of Strength </t>
  </si>
  <si>
    <t>Pokemon Card Game Scarlet &amp; Violet Glory of Team Rocket sv10 Booster Box</t>
  </si>
  <si>
    <t>Night Wanderer 2x</t>
  </si>
  <si>
    <t>[ OPK-09 ] One Piece Card Game Booster Box Four Emperors</t>
  </si>
  <si>
    <t>Pokemon Card Game Scarlet &amp; Violet Black Bolt sv11b Booster Box</t>
  </si>
  <si>
    <t>Pokemon Cards Sword &amp; Shield Eevee Heroes Booster Box s6a</t>
  </si>
  <si>
    <t>Pokemon Card Game MEGA Mega Symphonia m1s Booster Box</t>
  </si>
  <si>
    <t>[ EBK-01 ] One Piece Card Game Booster Box Memorial collection</t>
  </si>
  <si>
    <t>Pokemon Card Game MEGA Mega Brave m1L Booster Box</t>
  </si>
  <si>
    <t>Stellar Miracle 2x</t>
  </si>
  <si>
    <t>[ OPK-11 ] One Piece Card Game Booster Box Fist of Divine Speed</t>
  </si>
  <si>
    <t>Pokemon Card Scarlet &amp; Violet Black Bolt sv11b Booster Box</t>
  </si>
  <si>
    <t>Pokemon Card Game MEGA Nihill Zero m3 Booster Box</t>
  </si>
  <si>
    <t>[ OPK-12 ] One Piece Card Game Booster Box Legacy of Master</t>
  </si>
  <si>
    <t>Pokemon Card Game Scarlet &amp; Violet White Flare sv11w Booster Box</t>
  </si>
  <si>
    <t>[ EBK-02 ] One Piece Card Game Booster Box Anime 25th Collection</t>
  </si>
  <si>
    <t>Wild Force 2x</t>
  </si>
  <si>
    <t>Pokemon Card Game MEGA Ninja Spinner m4 Booster Box</t>
  </si>
  <si>
    <t>Pokemon Card Scarlet &amp; Violet White Flare sv11w Booster Box</t>
  </si>
  <si>
    <t>[ OPK-10 ] One Piece Card Game Booster Box  Royal Bloodline</t>
  </si>
  <si>
    <t>shipping charge</t>
  </si>
  <si>
    <t>[ OPK-08 ] One Piece Card Game Booster Box Two Legends</t>
  </si>
  <si>
    <t>[ OPK-06 ] One Piece Card Game Booster Box Wings Of The Captain</t>
  </si>
  <si>
    <t>TOTAL</t>
  </si>
  <si>
    <t>Cyber Judge 2x</t>
  </si>
  <si>
    <t>Pokemon Card MEGA Mega Symphonia m1s Booster Box</t>
  </si>
  <si>
    <t>Pokemon Card Ninja Spiiner booster box m4</t>
  </si>
  <si>
    <t>Pokemon Card Game Scarlet &amp; Violet Terastal Festival ex sv8a Booster Box</t>
  </si>
  <si>
    <t>box</t>
  </si>
  <si>
    <t>Pokemon Card Battle Region</t>
  </si>
  <si>
    <t>Abyss Eye 16x</t>
  </si>
  <si>
    <t>Pokemon Card Heat wave arena sv9a</t>
  </si>
  <si>
    <t>Looking forward to your valued order for above invoice.</t>
  </si>
  <si>
    <t>Pokemon Card MEGA Mega Brave m1L Booster Box</t>
  </si>
  <si>
    <t>Payment Information</t>
  </si>
  <si>
    <t>-Paypal payment</t>
  </si>
  <si>
    <t>Pokemon Card MEGA NIHIL ZERO m3 Booster Box</t>
  </si>
  <si>
    <t>toonier@naver.com</t>
  </si>
  <si>
    <t>-wise payment</t>
  </si>
  <si>
    <t>recepient: PMC Corporation</t>
  </si>
  <si>
    <t>Pokemon Card Game MEGA NIHIL ZERO m3 Booster Box</t>
  </si>
  <si>
    <t>[ OPK-01 ] Romance Dawn x3</t>
  </si>
  <si>
    <t>[ OPK-03 ] Pillars of Strength x3</t>
  </si>
  <si>
    <t>[ OPK-09 ] Four Emperors x3</t>
  </si>
  <si>
    <t>[ EBK-01 ] Memorial collection x2</t>
  </si>
  <si>
    <t>[ OPK-11 ] Fist of Divine Speed x2</t>
  </si>
  <si>
    <t>Pokemon Card MEGA NINJA SPINNER m4 Booster Box</t>
  </si>
  <si>
    <t>signed by</t>
  </si>
  <si>
    <t>Pokemon Card Game MEGA NINJA SPINNER m4 Booster Box</t>
  </si>
  <si>
    <t>[ OPK-12 ] Legacy of Master x3</t>
  </si>
  <si>
    <t>[ EBK-02 ] Anime 25th Collection x3</t>
  </si>
  <si>
    <t>[ OPK-10 ] x2</t>
  </si>
  <si>
    <t>[ OPK-08 ] Two Legends x2</t>
  </si>
  <si>
    <t>[ OPK-06 ] Wings Of The Captain x3</t>
  </si>
  <si>
    <t>item list</t>
  </si>
  <si>
    <t>Pokemon Card Scarlet &amp;Violet Paradise Dragona Booster Box Sealed Sv7a</t>
  </si>
  <si>
    <t xml:space="preserve">Pokemon card Battle Partners Booster Box w/o promo </t>
  </si>
  <si>
    <t xml:space="preserve">Pokemon card Battle Partners Booster Box with promo </t>
  </si>
  <si>
    <t>Pokemon card VSTAR Universe Booster Box</t>
  </si>
  <si>
    <t>Pokemon card 151 Booster Box</t>
  </si>
  <si>
    <t>Dark Phantasma Expansion Booster Box</t>
  </si>
  <si>
    <t>Pokemon card Super Electric Breaker Booster Box</t>
  </si>
  <si>
    <t>Pokemon Card Scarlet &amp; Violet Crimson Haze Booster Box sv5a</t>
  </si>
  <si>
    <t>Pokemon card Paradise Dragona Booster Box</t>
  </si>
  <si>
    <t>Pokemon card Terastal Festival  EX Booster Box</t>
  </si>
  <si>
    <t xml:space="preserve">Pokemon card Shiny Treasure ex Box </t>
  </si>
  <si>
    <t>Pokemon card Ruler of the Black Flame Booster Box</t>
  </si>
  <si>
    <t xml:space="preserve">Pokemon card Cyber Judge Booster Box </t>
  </si>
  <si>
    <t>Pokemon card Crimson Haze Booster Box</t>
  </si>
  <si>
    <t>Pokemon card Ancient Roar Booster Box</t>
  </si>
  <si>
    <t>Pokemon card Eevee Heroes Booster Box</t>
  </si>
  <si>
    <t>Pokemon Card Scarlet &amp;Violet Night Wanderer Booster Box SV6A</t>
  </si>
  <si>
    <t>Pokemon card Future Flash Booster Box</t>
  </si>
  <si>
    <t>Pokemon card Mask of Change Twilight Masquerade Booster Box</t>
  </si>
  <si>
    <t>Pokemon card Clay Burst Booster Box</t>
  </si>
  <si>
    <t xml:space="preserve">Pokemon card Night Wanderer Booster Box </t>
  </si>
  <si>
    <t>Pokemon card Snow Hazard Booster Box</t>
  </si>
  <si>
    <t>Pokemon card Stellar Miracle Booster Box</t>
  </si>
  <si>
    <t>Pokemon card Triplet Beat Booster Box</t>
  </si>
  <si>
    <t>Pokemon card Raging Surf Booster Box</t>
  </si>
  <si>
    <t xml:space="preserve">Pokemon card Scarlet ex Booster Box </t>
  </si>
  <si>
    <t>Pokemon card Wild Force Booster Box</t>
  </si>
  <si>
    <t>Pokemon Card Scarlet&amp;Violet Stellar Miracle Booster Box sv7</t>
  </si>
  <si>
    <t>Pokemon card Violet ex Booster Box</t>
  </si>
  <si>
    <t>Pokemon card Lost Abyss Booster Box</t>
  </si>
  <si>
    <t>Pokemon card Paradigm Trigger Booster Box</t>
  </si>
  <si>
    <t>Pokemon card Skyscraper Perfect Expansion Booster Box</t>
  </si>
  <si>
    <t>Pokemon card Battle Region Enhanced Expansion Booster Box</t>
  </si>
  <si>
    <t>Pokemon card Incandescent Arcana Expansion Booster Box</t>
  </si>
  <si>
    <t xml:space="preserve">Pokemon card Star Birth Expansion Booster Box </t>
  </si>
  <si>
    <t>Pokemon card Space Juggler Booster Box</t>
  </si>
  <si>
    <t>Pokemon card Blue Sky Stream Booster Box</t>
  </si>
  <si>
    <t>Pokemon Cards Scarlet &amp; Violet Wild Force Booster Box sv5k</t>
  </si>
  <si>
    <t>Pokemon card Time Gazer Booster Box</t>
  </si>
  <si>
    <t>Pokemon card Fusion Arts Booster Box</t>
  </si>
  <si>
    <t>Pokemon card Silver Lance Booster Box</t>
  </si>
  <si>
    <t>Pokemon card Astonishing Volt Tackle Booster Box</t>
  </si>
  <si>
    <t>Pokemon card Explosive flame Walker Booster Box</t>
  </si>
  <si>
    <t>Pokemon card Legendary Heartbeat Booster Box</t>
  </si>
  <si>
    <t>Pokemon card Rapid Strike Master Booster Box</t>
  </si>
  <si>
    <t>Pokemon card Infinity Zone Mugen Zone Booster Box</t>
  </si>
  <si>
    <t>Pokemon card Rebellion Crash Booster Box</t>
  </si>
  <si>
    <t xml:space="preserve">Pokemon Cards Scarlet &amp; Violet Cyber Judge Booster Box sv5m </t>
  </si>
  <si>
    <t xml:space="preserve"> Pokemon card Vmax Rising Booster Box </t>
  </si>
  <si>
    <t>Pokemon card Matchless Fighter Booster Box</t>
  </si>
  <si>
    <t>Pokemon card Single Strike Master Expansion Booster Box</t>
  </si>
  <si>
    <t xml:space="preserve"> Pokemon card VMAX CLIMAX High Class Pack Booster Box</t>
  </si>
  <si>
    <t>Pokemon card Jet Black Geist Spirit Booster Box</t>
  </si>
  <si>
    <t>Pokemon card High Class Pack Shiny star V box</t>
  </si>
  <si>
    <t>Pokemon card Sword V Booster Box</t>
  </si>
  <si>
    <t>Pokemon Card MEGA Abyss Eye Booster Box m5</t>
  </si>
  <si>
    <t>DC</t>
  </si>
  <si>
    <t>no:CC260424YSB</t>
  </si>
  <si>
    <t>no:CC260414YSB</t>
  </si>
  <si>
    <t>Apr.24,2026</t>
  </si>
  <si>
    <t>Apr.14,2026</t>
  </si>
  <si>
    <t>Pokemon Card Game MEGA Mega Dream EX Booster Box m2a</t>
  </si>
  <si>
    <t>Pokemon Card Game Mega INFERNO X Booster Box m2</t>
  </si>
  <si>
    <t>Pokemon Card Game MEGA Mega Brave Booster Box m1L</t>
  </si>
  <si>
    <t>Pokemon Card Game Scarlet&amp;Violet Black Bolt Booster box sv11B</t>
  </si>
  <si>
    <t>Pokemon Card Game Scarlet&amp;Violet White Flare Booster Box sv11W</t>
  </si>
  <si>
    <t>Pokemon Card Game MEGA Mega Dream EX m2a Booster Box</t>
  </si>
  <si>
    <t xml:space="preserve">Pokemon Card Game Scarlet &amp; Violet Glory of Team Rocket Booster Box sv10			
</t>
  </si>
  <si>
    <t>Pokemon Card Game Scarlet &amp; Violet 151 sv2a Booster Box</t>
  </si>
  <si>
    <t>Pokemon Card Game Scarlet &amp; Violet Ruler of the Black Flame sv3 Booster Box</t>
  </si>
  <si>
    <t>Pokemon Card Game MEGA Inferno X m2 Booster Box</t>
  </si>
  <si>
    <t>no:CC260403YSB</t>
  </si>
  <si>
    <t>Apr.03,2026</t>
  </si>
  <si>
    <t>Pokemon Card Game Sword &amp; Shield Blue Sky Stream s7r Booster Box</t>
  </si>
  <si>
    <t>Pokemon Card Game Scarlet &amp; Violet Shiny Treasure ex sv4a Booster Box</t>
  </si>
  <si>
    <t>no:CC2603019YSB</t>
  </si>
  <si>
    <t>Mar.16,2026</t>
  </si>
  <si>
    <t>Pillars of Strength 3x</t>
  </si>
  <si>
    <t>Paramount War 3x</t>
  </si>
  <si>
    <t>Four Emperors4x</t>
  </si>
  <si>
    <t>no:CC2603016YSB</t>
  </si>
  <si>
    <t>Memorial collection4x</t>
  </si>
  <si>
    <t>Two Legends 4x</t>
  </si>
  <si>
    <t>Wings Of The Capt 3x</t>
  </si>
  <si>
    <t>Kingdoms of Intrigue 3x</t>
  </si>
  <si>
    <t>Paramount War 4x</t>
  </si>
  <si>
    <t>Super Electric Breaker 1x</t>
  </si>
  <si>
    <t>Terastal Festival ex 1x</t>
  </si>
  <si>
    <t>Pokemon Card Game Sword &amp; Shield Eevee Heroes s6a Booster Box</t>
  </si>
  <si>
    <t>no:CC260305YSB</t>
  </si>
  <si>
    <t>Mar.05,2026</t>
  </si>
  <si>
    <t>Pokemon Card Game MEGA Mega Dream EX M2a Booster Box</t>
  </si>
  <si>
    <t>Pokemon Card Game Scarlet &amp; Violet Black Bolt sv11B Booster Box</t>
  </si>
  <si>
    <t>Pokemon Card Game Scarlet &amp; Violet White Flare sv11W Booster Box</t>
  </si>
  <si>
    <t>Pokemon Card Game MEGA Inferno X M2 Booster Box</t>
  </si>
  <si>
    <t>no:CC260304YSB</t>
  </si>
  <si>
    <t>Mar.04,2026</t>
  </si>
  <si>
    <t>no:CC260223YSB</t>
  </si>
  <si>
    <t>7 151 $70</t>
  </si>
  <si>
    <t>Feb.23,2026</t>
  </si>
  <si>
    <t>2 glory of team rocket  $30</t>
  </si>
  <si>
    <t>2 vstar universe $43</t>
  </si>
  <si>
    <t>Pokemon Card Game Sword &amp; Shield VSTAR Universe s12a</t>
  </si>
  <si>
    <t>2 ruler of the black flame $22</t>
  </si>
  <si>
    <t>16 white flare $26</t>
  </si>
  <si>
    <t>16 black Bolt $32</t>
  </si>
  <si>
    <t>2 terastal Festival $45</t>
  </si>
  <si>
    <t>10 mega brave $25</t>
  </si>
  <si>
    <t>10 mega Symphonia  $24</t>
  </si>
  <si>
    <t>Pokemon Card Game MEGA Mega Symphonia m1S Booster Box</t>
  </si>
  <si>
    <t>2 shiny treasure $45</t>
  </si>
  <si>
    <t>Pokemon Card Game Scarlet &amp; Violet Shiny Treasure ex sv4a</t>
  </si>
  <si>
    <t>1 eevee heroes $85</t>
  </si>
  <si>
    <t>10 inferno x $40</t>
  </si>
  <si>
    <t>Pokemon Card Game MEGA Mega Inferno X m2 Booster Box</t>
  </si>
  <si>
    <t>10 mega dream ex $39</t>
  </si>
  <si>
    <t>no:CC260210YSB</t>
  </si>
  <si>
    <t>30 terastal</t>
  </si>
  <si>
    <t>Feb.10,2026</t>
  </si>
  <si>
    <t>90 eevee</t>
  </si>
  <si>
    <t>150 blue sky</t>
  </si>
  <si>
    <t>150 star birth</t>
  </si>
  <si>
    <t>120 ruler</t>
  </si>
  <si>
    <t>150 raging</t>
  </si>
  <si>
    <t>150 crimson</t>
  </si>
  <si>
    <t>90 Mask</t>
  </si>
  <si>
    <t>150 battle partners</t>
  </si>
  <si>
    <t>90 glory</t>
  </si>
  <si>
    <t>150 151</t>
  </si>
  <si>
    <t>Pokemon Card Game Sword &amp; Shield Lost Abyss s11 Booster Box</t>
  </si>
  <si>
    <t>no:CC260203YSB</t>
  </si>
  <si>
    <t>Feb.03,2026</t>
  </si>
  <si>
    <t>no:CC260119YSB</t>
  </si>
  <si>
    <t>Jan.19,2026</t>
  </si>
  <si>
    <t>Pokemon Card Game Scarlet &amp; Violet Black Bolt sv11b Booster Bo</t>
  </si>
  <si>
    <t>no:CC251205YSB</t>
  </si>
  <si>
    <t>Dec.05,2025</t>
  </si>
  <si>
    <t>no:CC260108YSB</t>
  </si>
  <si>
    <t>Jan.08,2026</t>
  </si>
  <si>
    <t>Pokemon Card Game Scarlet &amp; Violet Glory of Team Rocket sv10a Booster Box</t>
  </si>
  <si>
    <t>Pokemon Card Game Sword &amp; Shield VSTAR Universe s12a Booster Box</t>
  </si>
  <si>
    <t>Pokemon Card Game MEGA Mega Inferno X m3L Booster Box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</si>
</sst>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yyyy-mm-dd"/>
    <numFmt numFmtId="166" formatCode="[$$]#,##0"/>
    <numFmt numFmtId="167" formatCode="&quot;₩&quot;#,##0_);[Red]\(&quot;₩&quot;#,##0\)"/>
    <numFmt numFmtId="168" formatCode="[$₩-412]#,##0"/>
  </numFmts>
  <fonts count="24">
    <font>
      <sz val="11.0"/>
      <color theme="1"/>
      <name val="Calibri"/>
      <scheme val="minor"/>
    </font>
    <font>
      <b/>
      <sz val="22.0"/>
      <color theme="1"/>
      <name val="Tahoma"/>
    </font>
    <font>
      <sz val="11.0"/>
      <color theme="1"/>
      <name val="Tahoma"/>
    </font>
    <font>
      <b/>
      <u/>
      <sz val="28.0"/>
      <color theme="1"/>
      <name val="Tahoma"/>
    </font>
    <font>
      <color theme="1"/>
      <name val="Calibri"/>
    </font>
    <font>
      <color rgb="FF555555"/>
      <name val="Arial"/>
    </font>
    <font>
      <b/>
      <u/>
      <sz val="11.0"/>
      <color theme="1"/>
      <name val="Tahoma"/>
    </font>
    <font>
      <sz val="11.0"/>
      <color theme="1"/>
      <name val="Calibri"/>
    </font>
    <font>
      <b/>
      <sz val="11.0"/>
      <color theme="1"/>
      <name val="Tahoma"/>
    </font>
    <font>
      <sz val="11.0"/>
      <color rgb="FF000000"/>
      <name val="Tahoma"/>
    </font>
    <font>
      <sz val="11.0"/>
      <color rgb="FF333333"/>
      <name val="Tahoma"/>
    </font>
    <font>
      <sz val="11.0"/>
      <color theme="1"/>
      <name val="Malgun Gothic"/>
    </font>
    <font>
      <b/>
      <sz val="12.0"/>
      <color theme="1"/>
      <name val="Malgun Gothic"/>
    </font>
    <font>
      <color rgb="FF222222"/>
      <name val="Arial"/>
    </font>
    <font/>
    <font>
      <sz val="9.0"/>
      <color rgb="FF2D2D3A"/>
      <name val="-apple-system"/>
    </font>
    <font>
      <sz val="9.0"/>
      <color rgb="FF2D2D3A"/>
      <name val="Arial"/>
    </font>
    <font>
      <b/>
      <u/>
      <sz val="12.0"/>
      <color theme="1"/>
      <name val="Tahoma"/>
    </font>
    <font>
      <b/>
      <sz val="11.0"/>
      <color theme="1"/>
      <name val="Malgun Gothic"/>
    </font>
    <font>
      <sz val="10.0"/>
      <color rgb="FF303030"/>
      <name val="Quattrocento Sans"/>
    </font>
    <font>
      <u/>
      <sz val="11.0"/>
      <color theme="1"/>
      <name val="Malgun Gothic"/>
    </font>
    <font>
      <b/>
      <color theme="1"/>
      <name val="Calibri"/>
    </font>
    <font>
      <strike/>
      <sz val="11.0"/>
      <color theme="1"/>
      <name val="Malgun Gothic"/>
    </font>
    <font>
      <b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0" fillId="2" fontId="5" numFmtId="0" xfId="0" applyAlignment="1" applyFill="1" applyFont="1">
      <alignment horizontal="left" shrinkToFit="0" vertical="center" wrapText="0"/>
    </xf>
    <xf borderId="0" fillId="0" fontId="6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right" vertical="center"/>
    </xf>
    <xf quotePrefix="1" borderId="0" fillId="0" fontId="2" numFmtId="0" xfId="0" applyAlignment="1" applyFont="1">
      <alignment horizontal="right" vertical="center"/>
    </xf>
    <xf borderId="0" fillId="0" fontId="2" numFmtId="164" xfId="0" applyAlignment="1" applyFont="1" applyNumberFormat="1">
      <alignment horizontal="left" vertical="center"/>
    </xf>
    <xf borderId="0" fillId="0" fontId="10" numFmtId="0" xfId="0" applyAlignment="1" applyFont="1">
      <alignment vertical="center"/>
    </xf>
    <xf borderId="0" fillId="0" fontId="2" numFmtId="0" xfId="0" applyAlignment="1" applyFont="1">
      <alignment horizontal="left" shrinkToFit="0" vertical="center" wrapText="1"/>
    </xf>
    <xf borderId="0" fillId="0" fontId="11" numFmtId="0" xfId="0" applyAlignment="1" applyFont="1">
      <alignment shrinkToFit="0" vertical="center" wrapText="1"/>
    </xf>
    <xf borderId="0" fillId="0" fontId="11" numFmtId="165" xfId="0" applyAlignment="1" applyFont="1" applyNumberFormat="1">
      <alignment shrinkToFit="0" vertical="center" wrapText="1"/>
    </xf>
    <xf borderId="0" fillId="0" fontId="12" numFmtId="0" xfId="0" applyAlignment="1" applyFont="1">
      <alignment vertical="center"/>
    </xf>
    <xf borderId="0" fillId="2" fontId="13" numFmtId="0" xfId="0" applyAlignment="1" applyFill="1" applyFont="1">
      <alignment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vertical="center"/>
    </xf>
    <xf borderId="0" fillId="0" fontId="11" numFmtId="164" xfId="0" applyAlignment="1" applyFont="1" applyNumberFormat="1">
      <alignment horizontal="left" vertical="center"/>
    </xf>
    <xf borderId="1" fillId="0" fontId="4" numFmtId="0" xfId="0" applyAlignment="1" applyBorder="1" applyFont="1">
      <alignment vertical="center"/>
    </xf>
    <xf borderId="0" fillId="0" fontId="11" numFmtId="0" xfId="0" applyAlignment="1" applyFont="1">
      <alignment horizontal="left" vertical="center"/>
    </xf>
    <xf borderId="0" fillId="3" fontId="13" numFmtId="0" xfId="0" applyAlignment="1" applyFill="1" applyFont="1">
      <alignment vertical="center"/>
    </xf>
    <xf borderId="2" fillId="0" fontId="4" numFmtId="0" xfId="0" applyAlignment="1" applyBorder="1" applyFont="1">
      <alignment vertical="center"/>
    </xf>
    <xf borderId="3" fillId="0" fontId="14" numFmtId="0" xfId="0" applyAlignment="1" applyBorder="1" applyFont="1">
      <alignment vertical="center"/>
    </xf>
    <xf borderId="4" fillId="0" fontId="14" numFmtId="0" xfId="0" applyAlignment="1" applyBorder="1" applyFont="1">
      <alignment vertical="center"/>
    </xf>
    <xf borderId="5" fillId="4" fontId="7" numFmtId="0" xfId="0" applyAlignment="1" applyBorder="1" applyFill="1" applyFont="1">
      <alignment vertical="center"/>
    </xf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14" numFmtId="0" xfId="0" applyAlignment="1" applyBorder="1" applyFont="1">
      <alignment vertical="center"/>
    </xf>
    <xf borderId="9" fillId="0" fontId="14" numFmtId="0" xfId="0" applyAlignment="1" applyBorder="1" applyFont="1">
      <alignment vertical="center"/>
    </xf>
    <xf borderId="10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0" fillId="4" fontId="2" numFmtId="0" xfId="0" applyAlignment="1" applyFill="1" applyFont="1">
      <alignment horizontal="center" vertical="center"/>
    </xf>
    <xf borderId="12" fillId="4" fontId="2" numFmtId="0" xfId="0" applyAlignment="1" applyBorder="1" applyFill="1" applyFont="1">
      <alignment horizontal="center" vertical="center"/>
    </xf>
    <xf borderId="3" fillId="0" fontId="4" numFmtId="0" xfId="0" applyAlignment="1" applyBorder="1" applyFont="1">
      <alignment vertical="center"/>
    </xf>
    <xf borderId="4" fillId="0" fontId="4" numFmtId="0" xfId="0" applyAlignment="1" applyBorder="1" applyFont="1">
      <alignment vertical="center"/>
    </xf>
    <xf borderId="2" fillId="4" fontId="2" numFmtId="0" xfId="0" applyAlignment="1" applyBorder="1" applyFill="1" applyFont="1">
      <alignment horizontal="center" vertical="center"/>
    </xf>
    <xf borderId="1" fillId="4" fontId="2" numFmtId="166" xfId="0" applyAlignment="1" applyBorder="1" applyFill="1" applyFont="1" applyNumberFormat="1">
      <alignment vertical="center"/>
    </xf>
    <xf borderId="1" fillId="2" fontId="15" numFmtId="0" xfId="0" applyAlignment="1" applyBorder="1" applyFill="1" applyFont="1">
      <alignment vertical="center"/>
    </xf>
    <xf borderId="1" fillId="2" fontId="16" numFmtId="0" xfId="0" applyAlignment="1" applyBorder="1" applyFill="1" applyFont="1">
      <alignment vertical="center"/>
    </xf>
    <xf borderId="1" fillId="2" fontId="7" numFmtId="0" xfId="0" applyAlignment="1" applyBorder="1" applyFill="1" applyFont="1">
      <alignment vertical="center"/>
    </xf>
    <xf borderId="13" fillId="4" fontId="2" numFmtId="166" xfId="0" applyAlignment="1" applyBorder="1" applyFill="1" applyFont="1" applyNumberFormat="1">
      <alignment vertical="center"/>
    </xf>
    <xf borderId="1" fillId="4" fontId="7" numFmtId="0" xfId="0" applyAlignment="1" applyBorder="1" applyFill="1" applyFont="1">
      <alignment vertical="center"/>
    </xf>
    <xf borderId="1" fillId="0" fontId="2" numFmtId="166" xfId="0" applyAlignment="1" applyBorder="1" applyFont="1" applyNumberFormat="1">
      <alignment vertical="center"/>
    </xf>
    <xf borderId="14" fillId="0" fontId="2" numFmtId="166" xfId="0" applyAlignment="1" applyBorder="1" applyFont="1" applyNumberFormat="1">
      <alignment vertical="center"/>
    </xf>
    <xf borderId="2" fillId="4" fontId="7" numFmtId="0" xfId="0" applyAlignment="1" applyBorder="1" applyFill="1" applyFont="1">
      <alignment vertical="center"/>
    </xf>
    <xf borderId="15" fillId="0" fontId="8" numFmtId="0" xfId="0" applyAlignment="1" applyBorder="1" applyFont="1">
      <alignment vertical="center"/>
    </xf>
    <xf borderId="16" fillId="0" fontId="8" numFmtId="0" xfId="0" applyAlignment="1" applyBorder="1" applyFont="1">
      <alignment vertical="center"/>
    </xf>
    <xf borderId="17" fillId="0" fontId="8" numFmtId="167" xfId="0" applyAlignment="1" applyBorder="1" applyFont="1" applyNumberFormat="1">
      <alignment vertical="center"/>
    </xf>
    <xf borderId="18" fillId="0" fontId="2" numFmtId="166" xfId="0" applyAlignment="1" applyBorder="1" applyFont="1" applyNumberFormat="1">
      <alignment vertical="center"/>
    </xf>
    <xf borderId="0" fillId="0" fontId="2" numFmtId="0" xfId="0" applyAlignment="1" applyFont="1">
      <alignment vertical="bottom"/>
    </xf>
    <xf borderId="2" fillId="2" fontId="16" numFmtId="0" xfId="0" applyAlignment="1" applyBorder="1" applyFill="1" applyFont="1">
      <alignment vertical="center"/>
    </xf>
    <xf borderId="0" fillId="0" fontId="17" numFmtId="0" xfId="0" applyAlignment="1" applyFont="1">
      <alignment vertical="center"/>
    </xf>
    <xf borderId="2" fillId="2" fontId="2" numFmtId="0" xfId="0" applyAlignment="1" applyBorder="1" applyFill="1" applyFont="1">
      <alignment horizontal="center" vertical="center"/>
    </xf>
    <xf borderId="1" fillId="2" fontId="2" numFmtId="166" xfId="0" applyAlignment="1" applyBorder="1" applyFill="1" applyFont="1" applyNumberFormat="1">
      <alignment horizontal="right" vertical="center"/>
    </xf>
    <xf quotePrefix="1" borderId="0" fillId="0" fontId="8" numFmtId="0" xfId="0" applyAlignment="1" applyFont="1">
      <alignment vertical="center"/>
    </xf>
    <xf borderId="0" fillId="0" fontId="18" numFmtId="0" xfId="0" applyAlignment="1" applyFont="1">
      <alignment vertical="center"/>
    </xf>
    <xf borderId="0" fillId="0" fontId="19" numFmtId="0" xfId="0" applyAlignment="1" applyFont="1">
      <alignment vertical="center"/>
    </xf>
    <xf borderId="13" fillId="2" fontId="2" numFmtId="166" xfId="0" applyAlignment="1" applyBorder="1" applyFill="1" applyFont="1" applyNumberFormat="1">
      <alignment horizontal="right" vertical="center"/>
    </xf>
    <xf borderId="1" fillId="2" fontId="2" numFmtId="0" xfId="0" applyAlignment="1" applyBorder="1" applyFill="1" applyFont="1">
      <alignment horizontal="center" vertical="center"/>
    </xf>
    <xf borderId="0" fillId="0" fontId="20" numFmtId="0" xfId="0" applyAlignment="1" applyFont="1">
      <alignment vertical="center"/>
    </xf>
    <xf borderId="1" fillId="0" fontId="2" numFmtId="166" xfId="0" applyAlignment="1" applyBorder="1" applyFont="1" applyNumberFormat="1">
      <alignment horizontal="right" vertical="center"/>
    </xf>
    <xf borderId="0" fillId="0" fontId="21" numFmtId="0" xfId="0" applyAlignment="1" applyFont="1">
      <alignment horizontal="right" vertical="center"/>
    </xf>
    <xf borderId="19" fillId="0" fontId="4" numFmtId="0" xfId="0" applyAlignment="1" applyBorder="1" applyFont="1">
      <alignment vertical="center"/>
    </xf>
    <xf borderId="0" fillId="0" fontId="18" numFmtId="0" xfId="0" applyAlignment="1" applyFont="1">
      <alignment horizontal="left" vertical="center"/>
    </xf>
    <xf borderId="0" fillId="0" fontId="22" numFmtId="0" xfId="0" applyAlignment="1" applyFont="1">
      <alignment horizontal="left" vertical="center"/>
    </xf>
    <xf borderId="20" fillId="5" fontId="23" numFmtId="0" xfId="0" applyAlignment="1" applyBorder="1" applyFill="1" applyFont="1">
      <alignment vertical="center"/>
    </xf>
    <xf borderId="20" fillId="5" fontId="7" numFmtId="0" xfId="0" applyAlignment="1" applyBorder="1" applyFill="1" applyFont="1">
      <alignment vertical="center"/>
    </xf>
    <xf borderId="0" fillId="0" fontId="7" numFmtId="168" xfId="0" applyAlignment="1" applyFont="1" applyNumberFormat="1">
      <alignment vertical="center"/>
    </xf>
    <xf borderId="0" fillId="0" fontId="7" numFmtId="168" xfId="0" applyAlignment="1" applyFont="1" applyNumberFormat="1">
      <alignment horizontal="right" vertical="center"/>
    </xf>
    <xf borderId="14" fillId="0" fontId="2" numFmtId="166" xfId="0" applyAlignment="1" applyBorder="1" applyFont="1" applyNumberFormat="1">
      <alignment horizontal="right" vertical="center"/>
    </xf>
    <xf borderId="2" fillId="2" fontId="7" numFmtId="0" xfId="0" applyAlignment="1" applyBorder="1" applyFill="1" applyFont="1">
      <alignment vertical="center"/>
    </xf>
    <xf borderId="0" fillId="0" fontId="9" numFmtId="0" xfId="0" applyAlignment="1" applyFont="1">
      <alignment vertical="center"/>
    </xf>
    <xf borderId="5" fillId="0" fontId="1" numFmtId="0" xfId="0" applyAlignment="1" applyBorder="1" applyFont="1">
      <alignment horizontal="center" vertical="center"/>
    </xf>
    <xf borderId="21" fillId="0" fontId="4" numFmtId="0" xfId="0" applyAlignment="1" applyBorder="1" applyFont="1">
      <alignment vertical="center"/>
    </xf>
    <xf borderId="5" fillId="0" fontId="14" numFmtId="0" xfId="0" applyAlignment="1" applyBorder="1" applyFont="1">
      <alignment vertical="center"/>
    </xf>
    <xf borderId="19" fillId="0" fontId="14" numFmtId="0" xfId="0" applyAlignment="1" applyBorder="1" applyFont="1">
      <alignment vertical="center"/>
    </xf>
    <xf borderId="21" fillId="0" fontId="14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48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39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38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352425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43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39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42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45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41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46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657225</xdr:colOff>
      <xdr:row>0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161925</xdr:colOff>
      <xdr:row>46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657225</xdr:colOff>
      <xdr:row>1</xdr:row>
      <xdr:rowOff>95250</xdr:rowOff>
    </xdr:from>
    <xdr:ext cx="923925" cy="4476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161925</xdr:colOff>
      <xdr:row>43</xdr:row>
      <xdr:rowOff>142875</xdr:rowOff>
    </xdr:from>
    <xdr:ext cx="2019300" cy="904875"/>
    <xdr:pic>
      <xdr:nvPicPr>
        <xdr:cNvPr id="0" name="image2.jp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9.71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11" t="s">
        <v>8</v>
      </c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M11" s="5" t="s">
        <v>16</v>
      </c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19</v>
      </c>
      <c r="L12" s="23"/>
      <c r="M12" s="26" t="s">
        <v>21</v>
      </c>
      <c r="O12" s="21"/>
      <c r="P12" s="5"/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M13" s="5" t="s">
        <v>27</v>
      </c>
      <c r="O13" s="27"/>
      <c r="P13" s="9"/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M14" s="5" t="s">
        <v>32</v>
      </c>
      <c r="O14" s="21"/>
      <c r="P14" s="9"/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M15" s="5" t="s">
        <v>43</v>
      </c>
      <c r="O15" s="21"/>
      <c r="P15" s="9"/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M16" s="5" t="s">
        <v>48</v>
      </c>
      <c r="O16" s="21"/>
      <c r="P16" s="9"/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M17" s="5" t="s">
        <v>51</v>
      </c>
      <c r="O17" s="21"/>
      <c r="P17" s="9"/>
      <c r="T17" s="25" t="s">
        <v>47</v>
      </c>
    </row>
    <row r="18" ht="16.5" customHeight="1">
      <c r="A18" s="22"/>
      <c r="B18" s="22"/>
      <c r="C18" s="12"/>
      <c r="D18" s="5"/>
      <c r="E18" s="9"/>
      <c r="M18" s="5" t="s">
        <v>53</v>
      </c>
      <c r="O18" s="21"/>
      <c r="P18" s="5"/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M19" s="5" t="s">
        <v>59</v>
      </c>
      <c r="O19" s="27"/>
      <c r="P19" s="5"/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M20" s="5" t="s">
        <v>65</v>
      </c>
      <c r="O20" s="27"/>
      <c r="P20" s="5"/>
      <c r="T20" s="25" t="s">
        <v>62</v>
      </c>
    </row>
    <row r="21" ht="16.5" customHeight="1">
      <c r="A21" s="38"/>
      <c r="B21" s="39">
        <v>1.0</v>
      </c>
      <c r="C21" s="45" t="s">
        <v>67</v>
      </c>
      <c r="D21" s="46"/>
      <c r="E21" s="46"/>
      <c r="F21" s="46"/>
      <c r="G21" s="42">
        <v>16.0</v>
      </c>
      <c r="H21" s="30"/>
      <c r="I21" s="43">
        <v>45.0</v>
      </c>
      <c r="J21" s="47">
        <f t="shared" ref="J21:J37" si="1">G21*I21</f>
        <v>720</v>
      </c>
      <c r="M21" s="5" t="s">
        <v>72</v>
      </c>
      <c r="P21" s="5"/>
      <c r="T21" s="48" t="s">
        <v>69</v>
      </c>
    </row>
    <row r="22" ht="16.5" customHeight="1">
      <c r="A22" s="38"/>
      <c r="B22" s="39">
        <v>2.0</v>
      </c>
      <c r="C22" s="45" t="s">
        <v>75</v>
      </c>
      <c r="D22" s="46"/>
      <c r="E22" s="46"/>
      <c r="F22" s="46"/>
      <c r="G22" s="42">
        <v>2.0</v>
      </c>
      <c r="H22" s="30"/>
      <c r="I22" s="49">
        <v>158.0</v>
      </c>
      <c r="J22" s="47">
        <f t="shared" si="1"/>
        <v>316</v>
      </c>
      <c r="M22" s="5" t="s">
        <v>79</v>
      </c>
      <c r="T22" s="48"/>
    </row>
    <row r="23" ht="16.5" customHeight="1">
      <c r="A23" s="38"/>
      <c r="B23" s="39">
        <v>3.0</v>
      </c>
      <c r="C23" s="45" t="s">
        <v>81</v>
      </c>
      <c r="D23" s="46"/>
      <c r="E23" s="46"/>
      <c r="F23" s="46"/>
      <c r="G23" s="42">
        <v>20.0</v>
      </c>
      <c r="H23" s="30"/>
      <c r="I23" s="49">
        <v>53.0</v>
      </c>
      <c r="J23" s="47">
        <f t="shared" si="1"/>
        <v>1060</v>
      </c>
      <c r="M23" s="5" t="s">
        <v>86</v>
      </c>
      <c r="T23" s="48"/>
    </row>
    <row r="24" ht="16.5" customHeight="1">
      <c r="A24" s="38"/>
      <c r="B24" s="39">
        <v>4.0</v>
      </c>
      <c r="C24" s="45" t="s">
        <v>88</v>
      </c>
      <c r="D24" s="46"/>
      <c r="E24" s="46"/>
      <c r="F24" s="46"/>
      <c r="G24" s="42">
        <v>27.0</v>
      </c>
      <c r="H24" s="30"/>
      <c r="I24" s="50">
        <v>53.0</v>
      </c>
      <c r="J24" s="47">
        <f t="shared" si="1"/>
        <v>1431</v>
      </c>
      <c r="M24" s="5" t="s">
        <v>94</v>
      </c>
    </row>
    <row r="25" ht="16.5" customHeight="1">
      <c r="A25" s="38"/>
      <c r="B25" s="39">
        <v>5.0</v>
      </c>
      <c r="C25" s="45" t="s">
        <v>95</v>
      </c>
      <c r="D25" s="46"/>
      <c r="E25" s="46"/>
      <c r="F25" s="46"/>
      <c r="G25" s="42">
        <v>10.0</v>
      </c>
      <c r="H25" s="30"/>
      <c r="I25" s="50">
        <v>37.0</v>
      </c>
      <c r="J25" s="47">
        <f t="shared" si="1"/>
        <v>370</v>
      </c>
      <c r="M25" s="5" t="s">
        <v>100</v>
      </c>
    </row>
    <row r="26" ht="16.5" customHeight="1">
      <c r="A26" s="38"/>
      <c r="B26" s="39">
        <v>6.0</v>
      </c>
      <c r="C26" s="57" t="s">
        <v>103</v>
      </c>
      <c r="D26" s="29"/>
      <c r="E26" s="29"/>
      <c r="F26" s="30"/>
      <c r="G26" s="42">
        <v>10.0</v>
      </c>
      <c r="H26" s="30"/>
      <c r="I26" s="50">
        <v>37.0</v>
      </c>
      <c r="J26" s="47">
        <f t="shared" si="1"/>
        <v>370</v>
      </c>
    </row>
    <row r="27" ht="16.5" customHeight="1">
      <c r="A27" s="38"/>
      <c r="B27" s="39">
        <v>7.0</v>
      </c>
      <c r="C27" s="57" t="s">
        <v>106</v>
      </c>
      <c r="D27" s="29"/>
      <c r="E27" s="29"/>
      <c r="F27" s="30"/>
      <c r="G27" s="42">
        <v>16.0</v>
      </c>
      <c r="H27" s="30"/>
      <c r="I27" s="50">
        <v>35.0</v>
      </c>
      <c r="J27" s="47">
        <f t="shared" si="1"/>
        <v>560</v>
      </c>
      <c r="M27" s="44" t="s">
        <v>66</v>
      </c>
      <c r="N27" s="46"/>
      <c r="O27" s="46"/>
      <c r="P27" s="46"/>
      <c r="Q27" s="59">
        <v>17.0</v>
      </c>
      <c r="R27" s="30"/>
      <c r="S27" s="60">
        <v>45.0</v>
      </c>
      <c r="T27" s="64">
        <f>Q27*S27</f>
        <v>765</v>
      </c>
    </row>
    <row r="28" ht="16.5" customHeight="1">
      <c r="A28" s="38"/>
      <c r="B28" s="39">
        <v>8.0</v>
      </c>
      <c r="C28" s="45" t="s">
        <v>116</v>
      </c>
      <c r="D28" s="46"/>
      <c r="E28" s="46"/>
      <c r="F28" s="46"/>
      <c r="G28" s="42">
        <v>16.0</v>
      </c>
      <c r="H28" s="30"/>
      <c r="I28" s="50">
        <v>37.0</v>
      </c>
      <c r="J28" s="47">
        <f t="shared" si="1"/>
        <v>592</v>
      </c>
      <c r="M28" s="44"/>
      <c r="N28" s="46"/>
      <c r="O28" s="46"/>
      <c r="P28" s="46"/>
      <c r="Q28" s="65"/>
      <c r="R28" s="65"/>
      <c r="S28" s="67"/>
      <c r="T28" s="64"/>
    </row>
    <row r="29" ht="16.5" customHeight="1">
      <c r="A29" s="38"/>
      <c r="B29" s="39">
        <v>9.0</v>
      </c>
      <c r="C29" s="45" t="s">
        <v>125</v>
      </c>
      <c r="D29" s="46"/>
      <c r="E29" s="46"/>
      <c r="F29" s="46"/>
      <c r="G29" s="42">
        <v>3.0</v>
      </c>
      <c r="H29" s="30"/>
      <c r="I29" s="50">
        <v>35.0</v>
      </c>
      <c r="J29" s="47">
        <f t="shared" si="1"/>
        <v>105</v>
      </c>
      <c r="M29" s="44"/>
      <c r="N29" s="46"/>
      <c r="O29" s="46"/>
      <c r="P29" s="46"/>
      <c r="Q29" s="65"/>
      <c r="R29" s="65"/>
      <c r="S29" s="67"/>
      <c r="T29" s="64"/>
    </row>
    <row r="30" ht="16.5" customHeight="1">
      <c r="A30" s="38"/>
      <c r="B30" s="39">
        <v>10.0</v>
      </c>
      <c r="C30" s="48" t="s">
        <v>132</v>
      </c>
      <c r="D30" s="48"/>
      <c r="E30" s="48"/>
      <c r="F30" s="48"/>
      <c r="G30" s="42">
        <v>6.0</v>
      </c>
      <c r="H30" s="30"/>
      <c r="I30" s="50">
        <v>36.0</v>
      </c>
      <c r="J30" s="47">
        <f t="shared" si="1"/>
        <v>216</v>
      </c>
      <c r="M30" s="44"/>
      <c r="N30" s="46"/>
      <c r="O30" s="46"/>
      <c r="P30" s="46"/>
      <c r="Q30" s="65"/>
      <c r="R30" s="65"/>
      <c r="S30" s="67"/>
      <c r="T30" s="64"/>
    </row>
    <row r="31" ht="16.5" customHeight="1">
      <c r="A31" s="38"/>
      <c r="B31" s="39">
        <v>11.0</v>
      </c>
      <c r="C31" s="48" t="s">
        <v>141</v>
      </c>
      <c r="D31" s="48"/>
      <c r="E31" s="48"/>
      <c r="F31" s="48"/>
      <c r="G31" s="42">
        <v>2.0</v>
      </c>
      <c r="H31" s="30"/>
      <c r="I31" s="50">
        <v>35.0</v>
      </c>
      <c r="J31" s="47">
        <f t="shared" si="1"/>
        <v>70</v>
      </c>
      <c r="M31" s="44"/>
      <c r="N31" s="46"/>
      <c r="O31" s="46"/>
      <c r="P31" s="46"/>
      <c r="Q31" s="65"/>
      <c r="R31" s="65"/>
      <c r="S31" s="67"/>
      <c r="T31" s="64"/>
    </row>
    <row r="32" ht="16.5" customHeight="1">
      <c r="A32" s="38"/>
      <c r="B32" s="39">
        <v>12.0</v>
      </c>
      <c r="C32" s="48" t="s">
        <v>152</v>
      </c>
      <c r="D32" s="48"/>
      <c r="E32" s="48"/>
      <c r="F32" s="48"/>
      <c r="G32" s="42">
        <v>2.0</v>
      </c>
      <c r="H32" s="30"/>
      <c r="I32" s="50">
        <v>36.0</v>
      </c>
      <c r="J32" s="47">
        <f t="shared" si="1"/>
        <v>72</v>
      </c>
      <c r="M32" s="44"/>
      <c r="N32" s="46"/>
      <c r="O32" s="46"/>
      <c r="P32" s="46"/>
      <c r="Q32" s="65"/>
      <c r="R32" s="65"/>
      <c r="S32" s="67"/>
      <c r="T32" s="64"/>
    </row>
    <row r="33" ht="16.5" customHeight="1">
      <c r="A33" s="38"/>
      <c r="B33" s="39">
        <v>13.0</v>
      </c>
      <c r="C33" s="48" t="s">
        <v>162</v>
      </c>
      <c r="D33" s="48"/>
      <c r="E33" s="48"/>
      <c r="F33" s="48"/>
      <c r="G33" s="42">
        <v>2.0</v>
      </c>
      <c r="H33" s="30"/>
      <c r="I33" s="50">
        <v>35.0</v>
      </c>
      <c r="J33" s="47">
        <f t="shared" si="1"/>
        <v>70</v>
      </c>
      <c r="M33" s="44"/>
      <c r="N33" s="46"/>
      <c r="O33" s="46"/>
      <c r="P33" s="46"/>
      <c r="Q33" s="65"/>
      <c r="R33" s="65"/>
      <c r="S33" s="67"/>
      <c r="T33" s="64"/>
    </row>
    <row r="34" ht="16.5" customHeight="1">
      <c r="A34" s="38"/>
      <c r="B34" s="39">
        <v>14.0</v>
      </c>
      <c r="C34" s="48" t="s">
        <v>172</v>
      </c>
      <c r="D34" s="48"/>
      <c r="E34" s="48"/>
      <c r="F34" s="48"/>
      <c r="G34" s="42">
        <v>2.0</v>
      </c>
      <c r="H34" s="30"/>
      <c r="I34" s="50">
        <v>35.0</v>
      </c>
      <c r="J34" s="47">
        <f t="shared" si="1"/>
        <v>70</v>
      </c>
      <c r="M34" s="44"/>
      <c r="N34" s="46"/>
      <c r="O34" s="46"/>
      <c r="P34" s="46"/>
      <c r="Q34" s="65"/>
      <c r="R34" s="65"/>
      <c r="S34" s="67"/>
      <c r="T34" s="64"/>
    </row>
    <row r="35" ht="16.5" customHeight="1">
      <c r="A35" s="38"/>
      <c r="B35" s="39">
        <v>15.0</v>
      </c>
      <c r="C35" s="51" t="s">
        <v>180</v>
      </c>
      <c r="D35" s="29"/>
      <c r="E35" s="29"/>
      <c r="F35" s="30"/>
      <c r="G35" s="42">
        <v>16.0</v>
      </c>
      <c r="H35" s="30"/>
      <c r="I35" s="50">
        <v>39.0</v>
      </c>
      <c r="J35" s="47">
        <f t="shared" si="1"/>
        <v>624</v>
      </c>
      <c r="M35" s="44"/>
      <c r="N35" s="46"/>
      <c r="O35" s="46"/>
      <c r="P35" s="46"/>
      <c r="Q35" s="65"/>
      <c r="R35" s="65"/>
      <c r="S35" s="67"/>
      <c r="T35" s="64"/>
    </row>
    <row r="36" ht="16.5" customHeight="1">
      <c r="A36" s="38"/>
      <c r="B36" s="39">
        <v>16.0</v>
      </c>
      <c r="C36" s="51" t="s">
        <v>90</v>
      </c>
      <c r="D36" s="29"/>
      <c r="E36" s="29"/>
      <c r="F36" s="30"/>
      <c r="G36" s="42">
        <f>G38/30</f>
        <v>5</v>
      </c>
      <c r="H36" s="30"/>
      <c r="I36" s="50">
        <v>120.0</v>
      </c>
      <c r="J36" s="47">
        <f t="shared" si="1"/>
        <v>600</v>
      </c>
      <c r="M36" s="44" t="s">
        <v>71</v>
      </c>
      <c r="N36" s="46"/>
      <c r="O36" s="46"/>
      <c r="P36" s="46"/>
      <c r="Q36" s="59">
        <v>16.0</v>
      </c>
      <c r="R36" s="30"/>
      <c r="S36" s="67">
        <v>50.0</v>
      </c>
      <c r="T36" s="64">
        <f>Q36*S36</f>
        <v>800</v>
      </c>
    </row>
    <row r="37" ht="16.5" customHeight="1">
      <c r="A37" s="38"/>
      <c r="B37" s="39">
        <v>17.0</v>
      </c>
      <c r="C37" s="51" t="s">
        <v>181</v>
      </c>
      <c r="D37" s="29"/>
      <c r="E37" s="29"/>
      <c r="F37" s="30"/>
      <c r="G37" s="42">
        <v>1.0</v>
      </c>
      <c r="H37" s="30"/>
      <c r="I37" s="50">
        <v>-46.0</v>
      </c>
      <c r="J37" s="47">
        <f t="shared" si="1"/>
        <v>-46</v>
      </c>
      <c r="M37" s="44"/>
      <c r="N37" s="46"/>
      <c r="O37" s="46"/>
      <c r="P37" s="46"/>
      <c r="Q37" s="59"/>
      <c r="R37" s="30"/>
      <c r="S37" s="67"/>
      <c r="T37" s="64"/>
    </row>
    <row r="38" ht="16.5" customHeight="1">
      <c r="A38" s="10"/>
      <c r="B38" s="52" t="s">
        <v>93</v>
      </c>
      <c r="C38" s="53"/>
      <c r="D38" s="53"/>
      <c r="E38" s="53"/>
      <c r="F38" s="53"/>
      <c r="G38" s="53">
        <f>SUM(G21:H35)</f>
        <v>150</v>
      </c>
      <c r="H38" s="53"/>
      <c r="I38" s="54" t="s">
        <v>98</v>
      </c>
      <c r="J38" s="55">
        <f>SUM(J21:J37)</f>
        <v>7200</v>
      </c>
      <c r="M38" s="44" t="s">
        <v>74</v>
      </c>
      <c r="N38" s="46"/>
      <c r="O38" s="46"/>
      <c r="P38" s="46"/>
      <c r="Q38" s="59">
        <v>25.0</v>
      </c>
      <c r="R38" s="30"/>
      <c r="S38" s="67">
        <v>53.0</v>
      </c>
      <c r="T38" s="64">
        <f t="shared" ref="T38:T45" si="2">Q38*S38</f>
        <v>1325</v>
      </c>
    </row>
    <row r="39" ht="28.5" customHeight="1">
      <c r="A39" s="56"/>
      <c r="B39" s="56" t="s">
        <v>102</v>
      </c>
      <c r="C39" s="9"/>
      <c r="D39" s="9"/>
      <c r="E39" s="9"/>
      <c r="F39" s="9"/>
      <c r="G39" s="9"/>
      <c r="H39" s="9"/>
      <c r="I39" s="9"/>
      <c r="M39" s="44" t="s">
        <v>84</v>
      </c>
      <c r="N39" s="46"/>
      <c r="O39" s="46"/>
      <c r="P39" s="46"/>
      <c r="Q39" s="59">
        <v>25.0</v>
      </c>
      <c r="R39" s="30"/>
      <c r="S39" s="76">
        <v>53.0</v>
      </c>
      <c r="T39" s="64">
        <f t="shared" si="2"/>
        <v>1325</v>
      </c>
    </row>
    <row r="40" ht="16.5" customHeight="1">
      <c r="A40" s="9"/>
      <c r="B40" s="9"/>
      <c r="F40" s="9"/>
      <c r="M40" s="44" t="s">
        <v>76</v>
      </c>
      <c r="N40" s="46"/>
      <c r="O40" s="46"/>
      <c r="P40" s="46"/>
      <c r="Q40" s="59">
        <v>17.0</v>
      </c>
      <c r="R40" s="30"/>
      <c r="S40" s="76">
        <v>37.0</v>
      </c>
      <c r="T40" s="64">
        <f t="shared" si="2"/>
        <v>629</v>
      </c>
    </row>
    <row r="41" ht="16.5" customHeight="1">
      <c r="A41" s="58"/>
      <c r="B41" s="58" t="s">
        <v>104</v>
      </c>
      <c r="C41" s="9"/>
      <c r="D41" s="9"/>
      <c r="F41" s="9"/>
      <c r="M41" s="44" t="s">
        <v>78</v>
      </c>
      <c r="N41" s="46"/>
      <c r="O41" s="46"/>
      <c r="P41" s="46"/>
      <c r="Q41" s="59">
        <v>17.0</v>
      </c>
      <c r="R41" s="30"/>
      <c r="S41" s="76">
        <v>37.0</v>
      </c>
      <c r="T41" s="64">
        <f t="shared" si="2"/>
        <v>629</v>
      </c>
    </row>
    <row r="42" ht="24.0" customHeight="1">
      <c r="M42" s="44" t="s">
        <v>97</v>
      </c>
      <c r="N42" s="46"/>
      <c r="O42" s="46"/>
      <c r="P42" s="46"/>
      <c r="Q42" s="59">
        <v>3.0</v>
      </c>
      <c r="R42" s="30"/>
      <c r="S42" s="76">
        <v>69.0</v>
      </c>
      <c r="T42" s="64">
        <f t="shared" si="2"/>
        <v>207</v>
      </c>
    </row>
    <row r="43" ht="16.5" customHeight="1">
      <c r="A43" s="10"/>
      <c r="B43" s="61" t="s">
        <v>105</v>
      </c>
      <c r="C43" s="62"/>
      <c r="D43" s="5" t="s">
        <v>15</v>
      </c>
      <c r="E43" s="9" t="s">
        <v>107</v>
      </c>
      <c r="G43" s="62"/>
      <c r="L43" s="63"/>
      <c r="M43" s="44" t="s">
        <v>110</v>
      </c>
      <c r="N43" s="46"/>
      <c r="O43" s="46"/>
      <c r="P43" s="46"/>
      <c r="Q43" s="59">
        <v>15.0</v>
      </c>
      <c r="R43" s="30"/>
      <c r="S43" s="76">
        <v>35.0</v>
      </c>
      <c r="T43" s="64">
        <f t="shared" si="2"/>
        <v>525</v>
      </c>
    </row>
    <row r="44" ht="16.5" customHeight="1">
      <c r="A44" s="10"/>
      <c r="B44" s="61" t="s">
        <v>108</v>
      </c>
      <c r="D44" s="5" t="s">
        <v>15</v>
      </c>
      <c r="E44" s="9" t="s">
        <v>107</v>
      </c>
      <c r="M44" s="44" t="s">
        <v>118</v>
      </c>
      <c r="N44" s="46"/>
      <c r="O44" s="46"/>
      <c r="P44" s="46"/>
      <c r="Q44" s="59">
        <v>15.0</v>
      </c>
      <c r="R44" s="30"/>
      <c r="S44" s="76">
        <v>37.0</v>
      </c>
      <c r="T44" s="64">
        <f t="shared" si="2"/>
        <v>555</v>
      </c>
    </row>
    <row r="45" ht="16.5" customHeight="1">
      <c r="E45" s="9" t="s">
        <v>109</v>
      </c>
      <c r="M45" s="77" t="s">
        <v>90</v>
      </c>
      <c r="N45" s="29"/>
      <c r="O45" s="29"/>
      <c r="P45" s="30"/>
      <c r="Q45" s="59">
        <f>Q46/30</f>
        <v>0</v>
      </c>
      <c r="R45" s="30"/>
      <c r="S45" s="76">
        <v>120.0</v>
      </c>
      <c r="T45" s="64">
        <f t="shared" si="2"/>
        <v>0</v>
      </c>
    </row>
    <row r="46" ht="16.5" customHeight="1">
      <c r="M46" s="10"/>
      <c r="N46" s="62"/>
      <c r="R46" s="62"/>
    </row>
    <row r="47" ht="16.5" customHeight="1">
      <c r="A47" s="62"/>
      <c r="B47" s="62"/>
      <c r="C47" s="62"/>
    </row>
    <row r="48" ht="16.5" customHeight="1">
      <c r="U48" s="5" t="s">
        <v>111</v>
      </c>
    </row>
    <row r="49" ht="16.5" customHeight="1">
      <c r="A49" s="9"/>
      <c r="B49" s="9"/>
      <c r="E49" s="9"/>
      <c r="G49" s="62"/>
      <c r="U49" s="5" t="s">
        <v>112</v>
      </c>
    </row>
    <row r="50" ht="16.5" customHeight="1">
      <c r="A50" s="9"/>
      <c r="B50" s="9"/>
      <c r="E50" s="9"/>
      <c r="G50" s="62"/>
    </row>
    <row r="51" ht="16.5" customHeight="1">
      <c r="U51" s="5" t="s">
        <v>113</v>
      </c>
    </row>
    <row r="52" ht="16.5" customHeight="1">
      <c r="U52" s="5" t="s">
        <v>114</v>
      </c>
    </row>
    <row r="53" ht="16.5" customHeight="1">
      <c r="I53" s="23"/>
      <c r="J53" s="66"/>
      <c r="K53" s="66"/>
      <c r="U53" s="5" t="s">
        <v>115</v>
      </c>
    </row>
    <row r="54" ht="16.5" customHeight="1">
      <c r="F54" s="68" t="s">
        <v>117</v>
      </c>
      <c r="G54" s="69"/>
      <c r="H54" s="69"/>
      <c r="I54" s="69"/>
      <c r="J54" s="69"/>
      <c r="U54" s="5" t="s">
        <v>119</v>
      </c>
    </row>
    <row r="55" ht="16.5" customHeight="1">
      <c r="U55" s="5" t="s">
        <v>120</v>
      </c>
    </row>
    <row r="56" ht="16.5" customHeight="1">
      <c r="A56" s="70"/>
      <c r="B56" s="70"/>
      <c r="U56" s="5" t="s">
        <v>121</v>
      </c>
    </row>
    <row r="57" ht="16.5" customHeight="1">
      <c r="A57" s="70"/>
      <c r="B57" s="70"/>
      <c r="U57" s="5" t="s">
        <v>122</v>
      </c>
    </row>
    <row r="58" ht="16.5" customHeight="1">
      <c r="A58" s="26"/>
      <c r="B58" s="26"/>
      <c r="U58" s="5" t="s">
        <v>123</v>
      </c>
    </row>
    <row r="59" ht="16.5" customHeight="1">
      <c r="A59" s="71"/>
      <c r="B59" s="71"/>
    </row>
    <row r="60" ht="16.5" customHeight="1"/>
    <row r="61" ht="16.5" customHeight="1"/>
    <row r="62" ht="16.5" customHeight="1"/>
    <row r="63" ht="16.5" customHeight="1"/>
    <row r="64" ht="16.5" customHeight="1">
      <c r="C64" s="8"/>
      <c r="D64" s="72" t="s">
        <v>124</v>
      </c>
      <c r="E64" s="73"/>
      <c r="F64" s="73"/>
      <c r="G64" s="73"/>
      <c r="H64" s="8"/>
      <c r="I64" s="8"/>
      <c r="J64" s="8"/>
      <c r="K64" s="74"/>
    </row>
    <row r="65" ht="16.5" customHeight="1">
      <c r="C65" s="8"/>
      <c r="D65" s="8" t="s">
        <v>126</v>
      </c>
      <c r="K65" s="75">
        <v>35000.0</v>
      </c>
    </row>
    <row r="66" ht="16.5" customHeight="1">
      <c r="C66" s="8"/>
      <c r="D66" s="8" t="s">
        <v>127</v>
      </c>
      <c r="K66" s="75">
        <v>40000.0</v>
      </c>
    </row>
    <row r="67" ht="16.5" customHeight="1">
      <c r="C67" s="8"/>
      <c r="D67" s="8" t="s">
        <v>128</v>
      </c>
      <c r="E67" s="8"/>
      <c r="F67" s="8"/>
      <c r="G67" s="8"/>
      <c r="H67" s="8"/>
      <c r="I67" s="8"/>
      <c r="J67" s="8"/>
      <c r="K67" s="75">
        <v>65000.0</v>
      </c>
    </row>
    <row r="68" ht="16.5" customHeight="1">
      <c r="C68" s="8"/>
      <c r="D68" s="8" t="s">
        <v>129</v>
      </c>
      <c r="E68" s="8"/>
      <c r="F68" s="8"/>
      <c r="G68" s="8"/>
      <c r="H68" s="8"/>
      <c r="I68" s="8"/>
      <c r="J68" s="8"/>
      <c r="K68" s="75">
        <v>65000.0</v>
      </c>
    </row>
    <row r="69" ht="16.5" customHeight="1">
      <c r="C69" s="8"/>
      <c r="D69" s="8" t="s">
        <v>130</v>
      </c>
      <c r="E69" s="8"/>
      <c r="F69" s="8"/>
      <c r="G69" s="8"/>
      <c r="H69" s="8"/>
      <c r="I69" s="8"/>
      <c r="J69" s="8"/>
      <c r="K69" s="75">
        <v>35000.0</v>
      </c>
    </row>
    <row r="70" ht="16.5" customHeight="1">
      <c r="C70" s="8"/>
      <c r="D70" s="8" t="s">
        <v>131</v>
      </c>
      <c r="E70" s="8"/>
      <c r="F70" s="8"/>
      <c r="G70" s="8"/>
      <c r="H70" s="8"/>
      <c r="I70" s="8"/>
      <c r="J70" s="8"/>
      <c r="K70" s="75">
        <v>37000.0</v>
      </c>
    </row>
    <row r="71" ht="16.5" customHeight="1">
      <c r="C71" s="8"/>
      <c r="D71" s="8" t="s">
        <v>133</v>
      </c>
      <c r="E71" s="8"/>
      <c r="F71" s="8"/>
      <c r="G71" s="8"/>
      <c r="H71" s="8"/>
      <c r="I71" s="8"/>
      <c r="J71" s="8"/>
      <c r="K71" s="75">
        <v>32000.0</v>
      </c>
    </row>
    <row r="72" ht="16.5" customHeight="1">
      <c r="C72" s="8"/>
      <c r="D72" s="8" t="s">
        <v>134</v>
      </c>
      <c r="H72" s="8"/>
      <c r="I72" s="8"/>
      <c r="J72" s="8"/>
      <c r="K72" s="75">
        <v>55000.0</v>
      </c>
    </row>
    <row r="73" ht="16.5" customHeight="1">
      <c r="C73" s="8"/>
      <c r="D73" s="8" t="s">
        <v>135</v>
      </c>
      <c r="E73" s="8"/>
      <c r="F73" s="8"/>
      <c r="G73" s="8"/>
      <c r="H73" s="8"/>
      <c r="I73" s="8"/>
      <c r="J73" s="8"/>
      <c r="K73" s="75">
        <v>60000.0</v>
      </c>
    </row>
    <row r="74" ht="16.5" customHeight="1">
      <c r="C74" s="8"/>
      <c r="D74" s="8" t="s">
        <v>136</v>
      </c>
      <c r="E74" s="8"/>
      <c r="F74" s="8"/>
      <c r="G74" s="8"/>
      <c r="H74" s="8"/>
      <c r="I74" s="8"/>
      <c r="J74" s="8"/>
      <c r="K74" s="75">
        <v>40000.0</v>
      </c>
    </row>
    <row r="75" ht="16.5" customHeight="1">
      <c r="C75" s="8"/>
      <c r="D75" s="8" t="s">
        <v>137</v>
      </c>
      <c r="E75" s="8"/>
      <c r="F75" s="8"/>
      <c r="G75" s="8"/>
      <c r="H75" s="8"/>
      <c r="I75" s="8"/>
      <c r="J75" s="8"/>
      <c r="K75" s="75">
        <v>27000.0</v>
      </c>
    </row>
    <row r="76" ht="16.5" customHeight="1">
      <c r="C76" s="8"/>
      <c r="D76" s="8" t="s">
        <v>138</v>
      </c>
      <c r="E76" s="8"/>
      <c r="F76" s="8"/>
      <c r="G76" s="8"/>
      <c r="H76" s="8"/>
      <c r="I76" s="8"/>
      <c r="J76" s="8"/>
      <c r="K76" s="75">
        <v>32000.0</v>
      </c>
    </row>
    <row r="77" ht="16.5" customHeight="1">
      <c r="C77" s="8"/>
      <c r="D77" s="8" t="s">
        <v>139</v>
      </c>
      <c r="E77" s="8"/>
      <c r="F77" s="8"/>
      <c r="G77" s="8"/>
      <c r="H77" s="8"/>
      <c r="I77" s="8"/>
      <c r="J77" s="8"/>
      <c r="K77" s="75">
        <v>27000.0</v>
      </c>
    </row>
    <row r="78" ht="16.5" customHeight="1">
      <c r="C78" s="8"/>
      <c r="D78" s="8" t="s">
        <v>140</v>
      </c>
      <c r="E78" s="8"/>
      <c r="F78" s="8"/>
      <c r="G78" s="8"/>
      <c r="H78" s="8"/>
      <c r="I78" s="8"/>
      <c r="J78" s="8"/>
      <c r="K78" s="75">
        <v>110000.0</v>
      </c>
    </row>
    <row r="79" ht="16.5" customHeight="1">
      <c r="C79" s="8"/>
      <c r="D79" s="8" t="s">
        <v>142</v>
      </c>
      <c r="E79" s="8"/>
      <c r="F79" s="8"/>
      <c r="G79" s="8"/>
      <c r="H79" s="8"/>
      <c r="I79" s="8"/>
      <c r="J79" s="8"/>
      <c r="K79" s="75">
        <v>30000.0</v>
      </c>
    </row>
    <row r="80" ht="16.5" customHeight="1">
      <c r="C80" s="8"/>
      <c r="D80" s="8" t="s">
        <v>143</v>
      </c>
      <c r="E80" s="8"/>
      <c r="F80" s="8"/>
      <c r="G80" s="8"/>
      <c r="H80" s="8"/>
      <c r="I80" s="8"/>
      <c r="J80" s="8"/>
      <c r="K80" s="75">
        <v>27000.0</v>
      </c>
    </row>
    <row r="81" ht="16.5" customHeight="1">
      <c r="C81" s="8"/>
      <c r="D81" s="8" t="s">
        <v>144</v>
      </c>
      <c r="E81" s="8"/>
      <c r="F81" s="8"/>
      <c r="G81" s="8"/>
      <c r="H81" s="8"/>
      <c r="I81" s="8"/>
      <c r="J81" s="8"/>
      <c r="K81" s="75">
        <v>33000.0</v>
      </c>
    </row>
    <row r="82" ht="16.5" customHeight="1">
      <c r="C82" s="8"/>
      <c r="D82" s="8" t="s">
        <v>145</v>
      </c>
      <c r="E82" s="8"/>
      <c r="F82" s="8"/>
      <c r="G82" s="8"/>
      <c r="H82" s="8"/>
      <c r="I82" s="8"/>
      <c r="J82" s="8"/>
      <c r="K82" s="75">
        <v>35000.0</v>
      </c>
    </row>
    <row r="83" ht="16.5" customHeight="1">
      <c r="C83" s="8"/>
      <c r="D83" s="8" t="s">
        <v>146</v>
      </c>
      <c r="E83" s="8"/>
      <c r="F83" s="8"/>
      <c r="G83" s="8"/>
      <c r="H83" s="8"/>
      <c r="I83" s="8"/>
      <c r="J83" s="8"/>
      <c r="K83" s="75">
        <v>33000.0</v>
      </c>
    </row>
    <row r="84" ht="16.5" customHeight="1">
      <c r="C84" s="8"/>
      <c r="D84" s="8" t="s">
        <v>147</v>
      </c>
      <c r="E84" s="8"/>
      <c r="F84" s="8"/>
      <c r="G84" s="8"/>
      <c r="H84" s="8"/>
      <c r="I84" s="8"/>
      <c r="J84" s="8"/>
      <c r="K84" s="75">
        <v>33000.0</v>
      </c>
    </row>
    <row r="85" ht="16.5" customHeight="1">
      <c r="C85" s="8"/>
      <c r="D85" s="8" t="s">
        <v>148</v>
      </c>
      <c r="E85" s="8"/>
      <c r="F85" s="8"/>
      <c r="G85" s="8"/>
      <c r="H85" s="8"/>
      <c r="I85" s="8"/>
      <c r="J85" s="8"/>
      <c r="K85" s="75">
        <v>35000.0</v>
      </c>
    </row>
    <row r="86" ht="16.5" customHeight="1">
      <c r="C86" s="8"/>
      <c r="D86" s="8" t="s">
        <v>149</v>
      </c>
      <c r="E86" s="8"/>
      <c r="F86" s="8"/>
      <c r="G86" s="8"/>
      <c r="H86" s="8"/>
      <c r="I86" s="8"/>
      <c r="J86" s="8"/>
      <c r="K86" s="75">
        <v>33000.0</v>
      </c>
    </row>
    <row r="87" ht="16.5" customHeight="1">
      <c r="C87" s="8"/>
      <c r="D87" s="8" t="s">
        <v>150</v>
      </c>
      <c r="E87" s="8"/>
      <c r="F87" s="8"/>
      <c r="G87" s="8"/>
      <c r="H87" s="8"/>
      <c r="I87" s="8"/>
      <c r="J87" s="8"/>
      <c r="K87" s="75">
        <v>33000.0</v>
      </c>
    </row>
    <row r="88" ht="16.5" customHeight="1">
      <c r="C88" s="8"/>
      <c r="D88" s="8" t="s">
        <v>151</v>
      </c>
      <c r="E88" s="8"/>
      <c r="F88" s="8"/>
      <c r="G88" s="8"/>
      <c r="H88" s="8"/>
      <c r="I88" s="8"/>
      <c r="J88" s="8"/>
      <c r="K88" s="75">
        <v>32000.0</v>
      </c>
    </row>
    <row r="89" ht="16.5" customHeight="1">
      <c r="C89" s="8"/>
      <c r="D89" s="8" t="s">
        <v>153</v>
      </c>
      <c r="E89" s="8"/>
      <c r="F89" s="8"/>
      <c r="G89" s="8"/>
      <c r="H89" s="8"/>
      <c r="I89" s="8"/>
      <c r="J89" s="8"/>
      <c r="K89" s="75">
        <v>33000.0</v>
      </c>
    </row>
    <row r="90" ht="16.5" customHeight="1">
      <c r="C90" s="8"/>
      <c r="D90" s="8" t="s">
        <v>154</v>
      </c>
      <c r="E90" s="8"/>
      <c r="F90" s="8"/>
      <c r="G90" s="8"/>
      <c r="H90" s="8"/>
      <c r="I90" s="8"/>
      <c r="J90" s="8"/>
      <c r="K90" s="75">
        <v>40000.0</v>
      </c>
    </row>
    <row r="91" ht="16.5" customHeight="1">
      <c r="C91" s="8"/>
      <c r="D91" s="8" t="s">
        <v>155</v>
      </c>
      <c r="E91" s="8"/>
      <c r="F91" s="8"/>
      <c r="G91" s="8"/>
      <c r="H91" s="8"/>
      <c r="I91" s="8"/>
      <c r="J91" s="8"/>
      <c r="K91" s="75">
        <v>35000.0</v>
      </c>
    </row>
    <row r="92" ht="16.5" customHeight="1">
      <c r="C92" s="8"/>
      <c r="D92" s="8" t="s">
        <v>156</v>
      </c>
      <c r="E92" s="8"/>
      <c r="F92" s="8"/>
      <c r="G92" s="8"/>
      <c r="H92" s="8"/>
      <c r="I92" s="8"/>
      <c r="J92" s="8"/>
      <c r="K92" s="74"/>
    </row>
    <row r="93" ht="16.5" customHeight="1">
      <c r="C93" s="8"/>
      <c r="D93" s="8" t="s">
        <v>157</v>
      </c>
      <c r="E93" s="8"/>
      <c r="F93" s="8"/>
      <c r="G93" s="8"/>
      <c r="H93" s="8"/>
      <c r="I93" s="8"/>
      <c r="J93" s="8"/>
      <c r="K93" s="74"/>
    </row>
    <row r="94" ht="16.5" customHeight="1">
      <c r="C94" s="8"/>
      <c r="D94" s="8" t="s">
        <v>158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159</v>
      </c>
      <c r="E95" s="8"/>
      <c r="F95" s="8"/>
      <c r="G95" s="8"/>
      <c r="H95" s="8"/>
      <c r="I95" s="8"/>
      <c r="J95" s="8"/>
      <c r="K95" s="75">
        <v>35000.0</v>
      </c>
    </row>
    <row r="96" ht="16.5" customHeight="1">
      <c r="C96" s="8"/>
      <c r="D96" s="8" t="s">
        <v>160</v>
      </c>
      <c r="E96" s="8"/>
      <c r="F96" s="8"/>
      <c r="G96" s="8"/>
      <c r="H96" s="8"/>
      <c r="I96" s="8"/>
      <c r="J96" s="8"/>
      <c r="K96" s="75">
        <v>30000.0</v>
      </c>
    </row>
    <row r="97" ht="16.5" customHeight="1">
      <c r="C97" s="8"/>
      <c r="D97" s="8" t="s">
        <v>161</v>
      </c>
      <c r="E97" s="8"/>
      <c r="F97" s="8"/>
      <c r="G97" s="8"/>
      <c r="H97" s="8"/>
      <c r="I97" s="8"/>
      <c r="J97" s="8"/>
      <c r="K97" s="75">
        <v>65000.0</v>
      </c>
    </row>
    <row r="98" ht="16.5" customHeight="1">
      <c r="C98" s="8"/>
      <c r="D98" s="8" t="s">
        <v>163</v>
      </c>
      <c r="E98" s="8"/>
      <c r="F98" s="8"/>
      <c r="G98" s="8"/>
      <c r="H98" s="8"/>
      <c r="I98" s="8"/>
      <c r="J98" s="8"/>
      <c r="K98" s="75">
        <v>33000.0</v>
      </c>
    </row>
    <row r="99" ht="16.5" customHeight="1">
      <c r="C99" s="8"/>
      <c r="D99" s="8" t="s">
        <v>164</v>
      </c>
      <c r="E99" s="8"/>
      <c r="F99" s="8"/>
      <c r="G99" s="8"/>
      <c r="H99" s="8"/>
      <c r="I99" s="8"/>
      <c r="J99" s="8"/>
      <c r="K99" s="75">
        <v>40000.0</v>
      </c>
    </row>
    <row r="100" ht="16.5" customHeight="1">
      <c r="C100" s="8"/>
      <c r="D100" s="8" t="s">
        <v>165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166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167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168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169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170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171</v>
      </c>
      <c r="E106" s="8"/>
      <c r="F106" s="8"/>
      <c r="G106" s="8"/>
      <c r="H106" s="8"/>
      <c r="I106" s="8"/>
      <c r="J106" s="8"/>
      <c r="K106" s="74"/>
    </row>
    <row r="107" ht="16.5" customHeight="1">
      <c r="C107" s="8"/>
      <c r="D107" s="8" t="s">
        <v>173</v>
      </c>
      <c r="E107" s="8"/>
      <c r="F107" s="8"/>
      <c r="G107" s="8"/>
      <c r="H107" s="8"/>
      <c r="I107" s="8"/>
      <c r="J107" s="8"/>
      <c r="K107" s="74"/>
    </row>
    <row r="108" ht="16.5" customHeight="1">
      <c r="C108" s="8"/>
      <c r="D108" s="8" t="s">
        <v>174</v>
      </c>
      <c r="E108" s="8"/>
      <c r="F108" s="8"/>
      <c r="G108" s="8"/>
      <c r="H108" s="8"/>
      <c r="I108" s="8"/>
      <c r="J108" s="8"/>
      <c r="K108" s="74"/>
    </row>
    <row r="109" ht="16.5" customHeight="1">
      <c r="C109" s="8"/>
      <c r="D109" s="8" t="s">
        <v>175</v>
      </c>
      <c r="E109" s="8"/>
      <c r="F109" s="8"/>
      <c r="G109" s="8"/>
      <c r="H109" s="8"/>
      <c r="I109" s="8"/>
      <c r="J109" s="8"/>
      <c r="K109" s="74"/>
    </row>
    <row r="110" ht="16.5" customHeight="1">
      <c r="C110" s="8"/>
      <c r="D110" s="8" t="s">
        <v>176</v>
      </c>
      <c r="E110" s="8"/>
      <c r="F110" s="8"/>
      <c r="G110" s="8"/>
      <c r="H110" s="8"/>
      <c r="I110" s="8"/>
      <c r="J110" s="8"/>
      <c r="K110" s="74"/>
    </row>
    <row r="111" ht="16.5" customHeight="1">
      <c r="C111" s="8"/>
      <c r="D111" s="8" t="s">
        <v>177</v>
      </c>
      <c r="E111" s="8"/>
      <c r="F111" s="8"/>
      <c r="G111" s="8"/>
      <c r="H111" s="8"/>
      <c r="I111" s="8"/>
      <c r="J111" s="8"/>
      <c r="K111" s="74"/>
    </row>
    <row r="112" ht="16.5" customHeight="1">
      <c r="C112" s="8"/>
      <c r="D112" s="8" t="s">
        <v>178</v>
      </c>
      <c r="E112" s="8"/>
      <c r="F112" s="8"/>
      <c r="G112" s="8"/>
      <c r="H112" s="8"/>
      <c r="I112" s="8"/>
      <c r="J112" s="8"/>
      <c r="K112" s="74"/>
    </row>
    <row r="113" ht="16.5" customHeight="1">
      <c r="C113" s="8"/>
      <c r="D113" s="8" t="s">
        <v>179</v>
      </c>
      <c r="E113" s="8"/>
      <c r="F113" s="8"/>
      <c r="G113" s="8"/>
      <c r="H113" s="8"/>
      <c r="I113" s="8"/>
      <c r="J113" s="8"/>
      <c r="K113" s="74"/>
    </row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9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G23:H23"/>
    <mergeCell ref="G24:H24"/>
    <mergeCell ref="G25:H25"/>
    <mergeCell ref="C26:F26"/>
    <mergeCell ref="G26:H26"/>
    <mergeCell ref="C27:F27"/>
    <mergeCell ref="Q27:R27"/>
    <mergeCell ref="G27:H27"/>
    <mergeCell ref="G28:H28"/>
    <mergeCell ref="G29:H29"/>
    <mergeCell ref="G30:H30"/>
    <mergeCell ref="G31:H31"/>
    <mergeCell ref="G32:H32"/>
    <mergeCell ref="G33:H33"/>
    <mergeCell ref="Q43:R43"/>
    <mergeCell ref="Q44:R44"/>
    <mergeCell ref="M45:P45"/>
    <mergeCell ref="Q45:R45"/>
    <mergeCell ref="Q36:R36"/>
    <mergeCell ref="Q37:R37"/>
    <mergeCell ref="Q38:R38"/>
    <mergeCell ref="Q39:R39"/>
    <mergeCell ref="Q40:R40"/>
    <mergeCell ref="Q41:R41"/>
    <mergeCell ref="Q42:R42"/>
    <mergeCell ref="D65:J65"/>
    <mergeCell ref="D66:J66"/>
    <mergeCell ref="D72:G72"/>
    <mergeCell ref="G34:H34"/>
    <mergeCell ref="C35:F35"/>
    <mergeCell ref="G35:H35"/>
    <mergeCell ref="C36:F36"/>
    <mergeCell ref="G36:H36"/>
    <mergeCell ref="C37:F37"/>
    <mergeCell ref="G37:H37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11" t="s">
        <v>11</v>
      </c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22</v>
      </c>
      <c r="L12" s="23"/>
      <c r="M12" s="24"/>
      <c r="O12" s="21"/>
      <c r="P12" s="5"/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O13" s="27" t="s">
        <v>25</v>
      </c>
      <c r="P13" s="9"/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O14" s="21" t="s">
        <v>30</v>
      </c>
      <c r="P14" s="9"/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O15" s="21" t="s">
        <v>36</v>
      </c>
      <c r="P15" s="9"/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O16" s="21" t="s">
        <v>41</v>
      </c>
      <c r="P16" s="9"/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O17" s="21" t="s">
        <v>46</v>
      </c>
      <c r="P17" s="9"/>
      <c r="T17" s="25" t="s">
        <v>47</v>
      </c>
    </row>
    <row r="18" ht="16.5" customHeight="1">
      <c r="A18" s="22"/>
      <c r="B18" s="22"/>
      <c r="C18" s="12"/>
      <c r="D18" s="5"/>
      <c r="E18" s="9"/>
      <c r="O18" s="21" t="s">
        <v>49</v>
      </c>
      <c r="P18" s="5"/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7" t="s">
        <v>52</v>
      </c>
      <c r="P19" s="5"/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O20" s="27" t="s">
        <v>61</v>
      </c>
      <c r="P20" s="5"/>
      <c r="T20" s="25" t="s">
        <v>62</v>
      </c>
    </row>
    <row r="21" ht="16.5" customHeight="1">
      <c r="A21" s="38"/>
      <c r="B21" s="39">
        <v>1.0</v>
      </c>
      <c r="C21" s="44" t="s">
        <v>66</v>
      </c>
      <c r="D21" s="46"/>
      <c r="E21" s="46"/>
      <c r="F21" s="46"/>
      <c r="G21" s="42">
        <v>17.0</v>
      </c>
      <c r="H21" s="30"/>
      <c r="I21" s="43">
        <v>45.0</v>
      </c>
      <c r="J21" s="47">
        <f t="shared" ref="J21:J30" si="1">G21*I21</f>
        <v>765</v>
      </c>
      <c r="O21" s="5" t="s">
        <v>68</v>
      </c>
      <c r="P21" s="5"/>
      <c r="T21" s="48" t="s">
        <v>69</v>
      </c>
    </row>
    <row r="22" ht="16.5" customHeight="1">
      <c r="A22" s="38"/>
      <c r="B22" s="39">
        <v>2.0</v>
      </c>
      <c r="C22" s="44" t="s">
        <v>71</v>
      </c>
      <c r="D22" s="46"/>
      <c r="E22" s="46"/>
      <c r="F22" s="46"/>
      <c r="G22" s="42">
        <v>16.0</v>
      </c>
      <c r="H22" s="30"/>
      <c r="I22" s="49">
        <v>50.0</v>
      </c>
      <c r="J22" s="47">
        <f t="shared" si="1"/>
        <v>800</v>
      </c>
      <c r="T22" s="48"/>
    </row>
    <row r="23" ht="16.5" customHeight="1">
      <c r="A23" s="38"/>
      <c r="B23" s="39">
        <v>3.0</v>
      </c>
      <c r="C23" s="44" t="s">
        <v>74</v>
      </c>
      <c r="D23" s="46"/>
      <c r="E23" s="46"/>
      <c r="F23" s="46"/>
      <c r="G23" s="42">
        <v>25.0</v>
      </c>
      <c r="H23" s="30"/>
      <c r="I23" s="49">
        <v>53.0</v>
      </c>
      <c r="J23" s="47">
        <f t="shared" si="1"/>
        <v>1325</v>
      </c>
      <c r="T23" s="48"/>
    </row>
    <row r="24" ht="16.5" customHeight="1">
      <c r="A24" s="38"/>
      <c r="B24" s="39">
        <v>4.0</v>
      </c>
      <c r="C24" s="44" t="s">
        <v>84</v>
      </c>
      <c r="D24" s="46"/>
      <c r="E24" s="46"/>
      <c r="F24" s="46"/>
      <c r="G24" s="42">
        <v>25.0</v>
      </c>
      <c r="H24" s="30"/>
      <c r="I24" s="50">
        <v>53.0</v>
      </c>
      <c r="J24" s="47">
        <f t="shared" si="1"/>
        <v>1325</v>
      </c>
    </row>
    <row r="25" ht="16.5" customHeight="1">
      <c r="A25" s="38"/>
      <c r="B25" s="39">
        <v>5.0</v>
      </c>
      <c r="C25" s="44" t="s">
        <v>76</v>
      </c>
      <c r="D25" s="46"/>
      <c r="E25" s="46"/>
      <c r="F25" s="46"/>
      <c r="G25" s="42">
        <v>17.0</v>
      </c>
      <c r="H25" s="30"/>
      <c r="I25" s="50">
        <v>37.0</v>
      </c>
      <c r="J25" s="47">
        <f t="shared" si="1"/>
        <v>629</v>
      </c>
    </row>
    <row r="26" ht="16.5" customHeight="1">
      <c r="A26" s="38"/>
      <c r="B26" s="39">
        <v>6.0</v>
      </c>
      <c r="C26" s="44" t="s">
        <v>78</v>
      </c>
      <c r="D26" s="46"/>
      <c r="E26" s="46"/>
      <c r="F26" s="46"/>
      <c r="G26" s="42">
        <v>17.0</v>
      </c>
      <c r="H26" s="30"/>
      <c r="I26" s="50">
        <v>37.0</v>
      </c>
      <c r="J26" s="47">
        <f t="shared" si="1"/>
        <v>629</v>
      </c>
    </row>
    <row r="27" ht="16.5" customHeight="1">
      <c r="A27" s="38"/>
      <c r="B27" s="39">
        <v>7.0</v>
      </c>
      <c r="C27" s="44" t="s">
        <v>97</v>
      </c>
      <c r="D27" s="46"/>
      <c r="E27" s="46"/>
      <c r="F27" s="46"/>
      <c r="G27" s="42">
        <v>3.0</v>
      </c>
      <c r="H27" s="30"/>
      <c r="I27" s="50">
        <v>69.0</v>
      </c>
      <c r="J27" s="47">
        <f t="shared" si="1"/>
        <v>207</v>
      </c>
      <c r="M27" s="44" t="s">
        <v>66</v>
      </c>
      <c r="N27" s="46"/>
      <c r="O27" s="46"/>
      <c r="P27" s="46"/>
      <c r="Q27" s="59">
        <v>17.0</v>
      </c>
      <c r="R27" s="30"/>
      <c r="S27" s="60">
        <v>45.0</v>
      </c>
      <c r="T27" s="64">
        <f>Q27*S27</f>
        <v>765</v>
      </c>
    </row>
    <row r="28" ht="16.5" customHeight="1">
      <c r="A28" s="38"/>
      <c r="B28" s="39">
        <v>8.0</v>
      </c>
      <c r="C28" s="44" t="s">
        <v>110</v>
      </c>
      <c r="D28" s="46"/>
      <c r="E28" s="46"/>
      <c r="F28" s="46"/>
      <c r="G28" s="42">
        <v>15.0</v>
      </c>
      <c r="H28" s="30"/>
      <c r="I28" s="50">
        <v>35.0</v>
      </c>
      <c r="J28" s="47">
        <f t="shared" si="1"/>
        <v>525</v>
      </c>
      <c r="M28" s="44"/>
      <c r="N28" s="46"/>
      <c r="O28" s="46"/>
      <c r="P28" s="46"/>
      <c r="Q28" s="65"/>
      <c r="R28" s="65"/>
      <c r="S28" s="67"/>
      <c r="T28" s="64"/>
    </row>
    <row r="29" ht="16.5" customHeight="1">
      <c r="A29" s="38"/>
      <c r="B29" s="39">
        <v>9.0</v>
      </c>
      <c r="C29" s="44" t="s">
        <v>118</v>
      </c>
      <c r="D29" s="46"/>
      <c r="E29" s="46"/>
      <c r="F29" s="46"/>
      <c r="G29" s="42">
        <v>15.0</v>
      </c>
      <c r="H29" s="30"/>
      <c r="I29" s="50">
        <v>37.0</v>
      </c>
      <c r="J29" s="47">
        <f t="shared" si="1"/>
        <v>555</v>
      </c>
      <c r="M29" s="44"/>
      <c r="N29" s="46"/>
      <c r="O29" s="46"/>
      <c r="P29" s="46"/>
      <c r="Q29" s="65"/>
      <c r="R29" s="65"/>
      <c r="S29" s="67"/>
      <c r="T29" s="64"/>
    </row>
    <row r="30" ht="16.5" customHeight="1">
      <c r="A30" s="38"/>
      <c r="B30" s="39">
        <v>10.0</v>
      </c>
      <c r="C30" s="51" t="s">
        <v>90</v>
      </c>
      <c r="D30" s="29"/>
      <c r="E30" s="29"/>
      <c r="F30" s="30"/>
      <c r="G30" s="42">
        <f>G31/30</f>
        <v>5</v>
      </c>
      <c r="H30" s="30"/>
      <c r="I30" s="50">
        <v>120.0</v>
      </c>
      <c r="J30" s="47">
        <f t="shared" si="1"/>
        <v>600</v>
      </c>
      <c r="M30" s="44" t="s">
        <v>71</v>
      </c>
      <c r="N30" s="46"/>
      <c r="O30" s="46"/>
      <c r="P30" s="46"/>
      <c r="Q30" s="59">
        <v>16.0</v>
      </c>
      <c r="R30" s="30"/>
      <c r="S30" s="67">
        <v>50.0</v>
      </c>
      <c r="T30" s="64">
        <f t="shared" ref="T30:T38" si="2">Q30*S30</f>
        <v>800</v>
      </c>
    </row>
    <row r="31" ht="16.5" customHeight="1">
      <c r="A31" s="10"/>
      <c r="B31" s="52" t="s">
        <v>93</v>
      </c>
      <c r="C31" s="53"/>
      <c r="D31" s="53"/>
      <c r="E31" s="53"/>
      <c r="F31" s="53"/>
      <c r="G31" s="53">
        <f>SUM(G21:H29)</f>
        <v>150</v>
      </c>
      <c r="H31" s="53"/>
      <c r="I31" s="54" t="s">
        <v>98</v>
      </c>
      <c r="J31" s="55">
        <f>SUM(J21:J30)</f>
        <v>7360</v>
      </c>
      <c r="M31" s="44" t="s">
        <v>74</v>
      </c>
      <c r="N31" s="46"/>
      <c r="O31" s="46"/>
      <c r="P31" s="46"/>
      <c r="Q31" s="59">
        <v>25.0</v>
      </c>
      <c r="R31" s="30"/>
      <c r="S31" s="67">
        <v>53.0</v>
      </c>
      <c r="T31" s="64">
        <f t="shared" si="2"/>
        <v>1325</v>
      </c>
    </row>
    <row r="32" ht="28.5" customHeight="1">
      <c r="A32" s="56"/>
      <c r="B32" s="56" t="s">
        <v>102</v>
      </c>
      <c r="C32" s="9"/>
      <c r="D32" s="9"/>
      <c r="E32" s="9"/>
      <c r="F32" s="9"/>
      <c r="G32" s="9"/>
      <c r="H32" s="9"/>
      <c r="I32" s="9"/>
      <c r="M32" s="44" t="s">
        <v>84</v>
      </c>
      <c r="N32" s="46"/>
      <c r="O32" s="46"/>
      <c r="P32" s="46"/>
      <c r="Q32" s="59">
        <v>25.0</v>
      </c>
      <c r="R32" s="30"/>
      <c r="S32" s="76">
        <v>53.0</v>
      </c>
      <c r="T32" s="64">
        <f t="shared" si="2"/>
        <v>1325</v>
      </c>
    </row>
    <row r="33" ht="16.5" customHeight="1">
      <c r="A33" s="9"/>
      <c r="B33" s="9"/>
      <c r="F33" s="9"/>
      <c r="M33" s="44" t="s">
        <v>76</v>
      </c>
      <c r="N33" s="46"/>
      <c r="O33" s="46"/>
      <c r="P33" s="46"/>
      <c r="Q33" s="59">
        <v>17.0</v>
      </c>
      <c r="R33" s="30"/>
      <c r="S33" s="76">
        <v>37.0</v>
      </c>
      <c r="T33" s="64">
        <f t="shared" si="2"/>
        <v>629</v>
      </c>
    </row>
    <row r="34" ht="16.5" customHeight="1">
      <c r="A34" s="58"/>
      <c r="B34" s="58" t="s">
        <v>104</v>
      </c>
      <c r="C34" s="9"/>
      <c r="D34" s="9"/>
      <c r="F34" s="9"/>
      <c r="M34" s="44" t="s">
        <v>78</v>
      </c>
      <c r="N34" s="46"/>
      <c r="O34" s="46"/>
      <c r="P34" s="46"/>
      <c r="Q34" s="59">
        <v>17.0</v>
      </c>
      <c r="R34" s="30"/>
      <c r="S34" s="76">
        <v>37.0</v>
      </c>
      <c r="T34" s="64">
        <f t="shared" si="2"/>
        <v>629</v>
      </c>
    </row>
    <row r="35" ht="24.0" customHeight="1">
      <c r="M35" s="44" t="s">
        <v>97</v>
      </c>
      <c r="N35" s="46"/>
      <c r="O35" s="46"/>
      <c r="P35" s="46"/>
      <c r="Q35" s="59">
        <v>3.0</v>
      </c>
      <c r="R35" s="30"/>
      <c r="S35" s="76">
        <v>69.0</v>
      </c>
      <c r="T35" s="64">
        <f t="shared" si="2"/>
        <v>207</v>
      </c>
    </row>
    <row r="36" ht="16.5" customHeight="1">
      <c r="A36" s="10"/>
      <c r="B36" s="61" t="s">
        <v>105</v>
      </c>
      <c r="C36" s="62"/>
      <c r="D36" s="5" t="s">
        <v>15</v>
      </c>
      <c r="E36" s="9" t="s">
        <v>107</v>
      </c>
      <c r="G36" s="62"/>
      <c r="L36" s="63"/>
      <c r="M36" s="44" t="s">
        <v>110</v>
      </c>
      <c r="N36" s="46"/>
      <c r="O36" s="46"/>
      <c r="P36" s="46"/>
      <c r="Q36" s="59">
        <v>15.0</v>
      </c>
      <c r="R36" s="30"/>
      <c r="S36" s="76">
        <v>35.0</v>
      </c>
      <c r="T36" s="64">
        <f t="shared" si="2"/>
        <v>525</v>
      </c>
    </row>
    <row r="37" ht="16.5" customHeight="1">
      <c r="A37" s="10"/>
      <c r="B37" s="61" t="s">
        <v>108</v>
      </c>
      <c r="D37" s="5" t="s">
        <v>15</v>
      </c>
      <c r="E37" s="9" t="s">
        <v>107</v>
      </c>
      <c r="M37" s="44" t="s">
        <v>118</v>
      </c>
      <c r="N37" s="46"/>
      <c r="O37" s="46"/>
      <c r="P37" s="46"/>
      <c r="Q37" s="59">
        <v>15.0</v>
      </c>
      <c r="R37" s="30"/>
      <c r="S37" s="76">
        <v>37.0</v>
      </c>
      <c r="T37" s="64">
        <f t="shared" si="2"/>
        <v>555</v>
      </c>
    </row>
    <row r="38" ht="16.5" customHeight="1">
      <c r="E38" s="9" t="s">
        <v>109</v>
      </c>
      <c r="M38" s="77" t="s">
        <v>90</v>
      </c>
      <c r="N38" s="29"/>
      <c r="O38" s="29"/>
      <c r="P38" s="30"/>
      <c r="Q38" s="59">
        <f>Q39/30</f>
        <v>0</v>
      </c>
      <c r="R38" s="30"/>
      <c r="S38" s="76">
        <v>120.0</v>
      </c>
      <c r="T38" s="64">
        <f t="shared" si="2"/>
        <v>0</v>
      </c>
    </row>
    <row r="39" ht="16.5" customHeight="1">
      <c r="M39" s="10"/>
      <c r="N39" s="62"/>
      <c r="R39" s="62"/>
    </row>
    <row r="40" ht="16.5" customHeight="1">
      <c r="A40" s="62"/>
      <c r="B40" s="62"/>
      <c r="C40" s="62"/>
    </row>
    <row r="41" ht="16.5" customHeight="1">
      <c r="U41" s="5" t="s">
        <v>111</v>
      </c>
    </row>
    <row r="42" ht="16.5" customHeight="1">
      <c r="A42" s="9"/>
      <c r="B42" s="9"/>
      <c r="E42" s="9"/>
      <c r="G42" s="62"/>
      <c r="U42" s="5" t="s">
        <v>112</v>
      </c>
    </row>
    <row r="43" ht="16.5" customHeight="1">
      <c r="A43" s="9"/>
      <c r="B43" s="9"/>
      <c r="E43" s="9"/>
      <c r="G43" s="62"/>
    </row>
    <row r="44" ht="16.5" customHeight="1">
      <c r="U44" s="5" t="s">
        <v>113</v>
      </c>
    </row>
    <row r="45" ht="16.5" customHeight="1">
      <c r="U45" s="5" t="s">
        <v>114</v>
      </c>
    </row>
    <row r="46" ht="16.5" customHeight="1">
      <c r="I46" s="23"/>
      <c r="J46" s="66"/>
      <c r="K46" s="66"/>
      <c r="U46" s="5" t="s">
        <v>115</v>
      </c>
    </row>
    <row r="47" ht="16.5" customHeight="1">
      <c r="F47" s="68" t="s">
        <v>117</v>
      </c>
      <c r="G47" s="69"/>
      <c r="H47" s="69"/>
      <c r="I47" s="69"/>
      <c r="J47" s="69"/>
      <c r="U47" s="5" t="s">
        <v>119</v>
      </c>
    </row>
    <row r="48" ht="16.5" customHeight="1">
      <c r="U48" s="5" t="s">
        <v>120</v>
      </c>
    </row>
    <row r="49" ht="16.5" customHeight="1">
      <c r="A49" s="70"/>
      <c r="B49" s="70"/>
      <c r="U49" s="5" t="s">
        <v>121</v>
      </c>
    </row>
    <row r="50" ht="16.5" customHeight="1">
      <c r="A50" s="70"/>
      <c r="B50" s="70"/>
      <c r="U50" s="5" t="s">
        <v>122</v>
      </c>
    </row>
    <row r="51" ht="16.5" customHeight="1">
      <c r="A51" s="26"/>
      <c r="B51" s="26"/>
      <c r="U51" s="5" t="s">
        <v>123</v>
      </c>
    </row>
    <row r="52" ht="16.5" customHeight="1">
      <c r="A52" s="71"/>
      <c r="B52" s="71"/>
    </row>
    <row r="53" ht="16.5" customHeight="1"/>
    <row r="54" ht="16.5" customHeight="1"/>
    <row r="55" ht="16.5" customHeight="1"/>
    <row r="56" ht="16.5" customHeight="1"/>
    <row r="57" ht="16.5" customHeight="1">
      <c r="C57" s="8"/>
      <c r="D57" s="72" t="s">
        <v>124</v>
      </c>
      <c r="E57" s="73"/>
      <c r="F57" s="73"/>
      <c r="G57" s="73"/>
      <c r="H57" s="8"/>
      <c r="I57" s="8"/>
      <c r="J57" s="8"/>
      <c r="K57" s="74"/>
    </row>
    <row r="58" ht="16.5" customHeight="1">
      <c r="C58" s="8"/>
      <c r="D58" s="8" t="s">
        <v>126</v>
      </c>
      <c r="K58" s="75">
        <v>35000.0</v>
      </c>
    </row>
    <row r="59" ht="16.5" customHeight="1">
      <c r="C59" s="8"/>
      <c r="D59" s="8" t="s">
        <v>127</v>
      </c>
      <c r="K59" s="75">
        <v>40000.0</v>
      </c>
    </row>
    <row r="60" ht="16.5" customHeight="1">
      <c r="C60" s="8"/>
      <c r="D60" s="8" t="s">
        <v>128</v>
      </c>
      <c r="E60" s="8"/>
      <c r="F60" s="8"/>
      <c r="G60" s="8"/>
      <c r="H60" s="8"/>
      <c r="I60" s="8"/>
      <c r="J60" s="8"/>
      <c r="K60" s="75">
        <v>65000.0</v>
      </c>
    </row>
    <row r="61" ht="16.5" customHeight="1">
      <c r="C61" s="8"/>
      <c r="D61" s="8" t="s">
        <v>129</v>
      </c>
      <c r="E61" s="8"/>
      <c r="F61" s="8"/>
      <c r="G61" s="8"/>
      <c r="H61" s="8"/>
      <c r="I61" s="8"/>
      <c r="J61" s="8"/>
      <c r="K61" s="75">
        <v>65000.0</v>
      </c>
    </row>
    <row r="62" ht="16.5" customHeight="1">
      <c r="C62" s="8"/>
      <c r="D62" s="8" t="s">
        <v>130</v>
      </c>
      <c r="E62" s="8"/>
      <c r="F62" s="8"/>
      <c r="G62" s="8"/>
      <c r="H62" s="8"/>
      <c r="I62" s="8"/>
      <c r="J62" s="8"/>
      <c r="K62" s="75">
        <v>35000.0</v>
      </c>
    </row>
    <row r="63" ht="16.5" customHeight="1">
      <c r="C63" s="8"/>
      <c r="D63" s="8" t="s">
        <v>131</v>
      </c>
      <c r="E63" s="8"/>
      <c r="F63" s="8"/>
      <c r="G63" s="8"/>
      <c r="H63" s="8"/>
      <c r="I63" s="8"/>
      <c r="J63" s="8"/>
      <c r="K63" s="75">
        <v>37000.0</v>
      </c>
    </row>
    <row r="64" ht="16.5" customHeight="1">
      <c r="C64" s="8"/>
      <c r="D64" s="8" t="s">
        <v>133</v>
      </c>
      <c r="E64" s="8"/>
      <c r="F64" s="8"/>
      <c r="G64" s="8"/>
      <c r="H64" s="8"/>
      <c r="I64" s="8"/>
      <c r="J64" s="8"/>
      <c r="K64" s="75">
        <v>32000.0</v>
      </c>
    </row>
    <row r="65" ht="16.5" customHeight="1">
      <c r="C65" s="8"/>
      <c r="D65" s="8" t="s">
        <v>134</v>
      </c>
      <c r="H65" s="8"/>
      <c r="I65" s="8"/>
      <c r="J65" s="8"/>
      <c r="K65" s="75">
        <v>55000.0</v>
      </c>
    </row>
    <row r="66" ht="16.5" customHeight="1">
      <c r="C66" s="8"/>
      <c r="D66" s="8" t="s">
        <v>135</v>
      </c>
      <c r="E66" s="8"/>
      <c r="F66" s="8"/>
      <c r="G66" s="8"/>
      <c r="H66" s="8"/>
      <c r="I66" s="8"/>
      <c r="J66" s="8"/>
      <c r="K66" s="75">
        <v>60000.0</v>
      </c>
    </row>
    <row r="67" ht="16.5" customHeight="1">
      <c r="C67" s="8"/>
      <c r="D67" s="8" t="s">
        <v>136</v>
      </c>
      <c r="E67" s="8"/>
      <c r="F67" s="8"/>
      <c r="G67" s="8"/>
      <c r="H67" s="8"/>
      <c r="I67" s="8"/>
      <c r="J67" s="8"/>
      <c r="K67" s="75">
        <v>40000.0</v>
      </c>
    </row>
    <row r="68" ht="16.5" customHeight="1">
      <c r="C68" s="8"/>
      <c r="D68" s="8" t="s">
        <v>137</v>
      </c>
      <c r="E68" s="8"/>
      <c r="F68" s="8"/>
      <c r="G68" s="8"/>
      <c r="H68" s="8"/>
      <c r="I68" s="8"/>
      <c r="J68" s="8"/>
      <c r="K68" s="75">
        <v>27000.0</v>
      </c>
    </row>
    <row r="69" ht="16.5" customHeight="1">
      <c r="C69" s="8"/>
      <c r="D69" s="8" t="s">
        <v>138</v>
      </c>
      <c r="E69" s="8"/>
      <c r="F69" s="8"/>
      <c r="G69" s="8"/>
      <c r="H69" s="8"/>
      <c r="I69" s="8"/>
      <c r="J69" s="8"/>
      <c r="K69" s="75">
        <v>32000.0</v>
      </c>
    </row>
    <row r="70" ht="16.5" customHeight="1">
      <c r="C70" s="8"/>
      <c r="D70" s="8" t="s">
        <v>139</v>
      </c>
      <c r="E70" s="8"/>
      <c r="F70" s="8"/>
      <c r="G70" s="8"/>
      <c r="H70" s="8"/>
      <c r="I70" s="8"/>
      <c r="J70" s="8"/>
      <c r="K70" s="75">
        <v>27000.0</v>
      </c>
    </row>
    <row r="71" ht="16.5" customHeight="1">
      <c r="C71" s="8"/>
      <c r="D71" s="8" t="s">
        <v>140</v>
      </c>
      <c r="E71" s="8"/>
      <c r="F71" s="8"/>
      <c r="G71" s="8"/>
      <c r="H71" s="8"/>
      <c r="I71" s="8"/>
      <c r="J71" s="8"/>
      <c r="K71" s="75">
        <v>110000.0</v>
      </c>
    </row>
    <row r="72" ht="16.5" customHeight="1">
      <c r="C72" s="8"/>
      <c r="D72" s="8" t="s">
        <v>142</v>
      </c>
      <c r="E72" s="8"/>
      <c r="F72" s="8"/>
      <c r="G72" s="8"/>
      <c r="H72" s="8"/>
      <c r="I72" s="8"/>
      <c r="J72" s="8"/>
      <c r="K72" s="75">
        <v>30000.0</v>
      </c>
    </row>
    <row r="73" ht="16.5" customHeight="1">
      <c r="C73" s="8"/>
      <c r="D73" s="8" t="s">
        <v>143</v>
      </c>
      <c r="E73" s="8"/>
      <c r="F73" s="8"/>
      <c r="G73" s="8"/>
      <c r="H73" s="8"/>
      <c r="I73" s="8"/>
      <c r="J73" s="8"/>
      <c r="K73" s="75">
        <v>27000.0</v>
      </c>
    </row>
    <row r="74" ht="16.5" customHeight="1">
      <c r="C74" s="8"/>
      <c r="D74" s="8" t="s">
        <v>144</v>
      </c>
      <c r="E74" s="8"/>
      <c r="F74" s="8"/>
      <c r="G74" s="8"/>
      <c r="H74" s="8"/>
      <c r="I74" s="8"/>
      <c r="J74" s="8"/>
      <c r="K74" s="75">
        <v>33000.0</v>
      </c>
    </row>
    <row r="75" ht="16.5" customHeight="1">
      <c r="C75" s="8"/>
      <c r="D75" s="8" t="s">
        <v>145</v>
      </c>
      <c r="E75" s="8"/>
      <c r="F75" s="8"/>
      <c r="G75" s="8"/>
      <c r="H75" s="8"/>
      <c r="I75" s="8"/>
      <c r="J75" s="8"/>
      <c r="K75" s="75">
        <v>35000.0</v>
      </c>
    </row>
    <row r="76" ht="16.5" customHeight="1">
      <c r="C76" s="8"/>
      <c r="D76" s="8" t="s">
        <v>146</v>
      </c>
      <c r="E76" s="8"/>
      <c r="F76" s="8"/>
      <c r="G76" s="8"/>
      <c r="H76" s="8"/>
      <c r="I76" s="8"/>
      <c r="J76" s="8"/>
      <c r="K76" s="75">
        <v>33000.0</v>
      </c>
    </row>
    <row r="77" ht="16.5" customHeight="1">
      <c r="C77" s="8"/>
      <c r="D77" s="8" t="s">
        <v>147</v>
      </c>
      <c r="E77" s="8"/>
      <c r="F77" s="8"/>
      <c r="G77" s="8"/>
      <c r="H77" s="8"/>
      <c r="I77" s="8"/>
      <c r="J77" s="8"/>
      <c r="K77" s="75">
        <v>33000.0</v>
      </c>
    </row>
    <row r="78" ht="16.5" customHeight="1">
      <c r="C78" s="8"/>
      <c r="D78" s="8" t="s">
        <v>148</v>
      </c>
      <c r="E78" s="8"/>
      <c r="F78" s="8"/>
      <c r="G78" s="8"/>
      <c r="H78" s="8"/>
      <c r="I78" s="8"/>
      <c r="J78" s="8"/>
      <c r="K78" s="75">
        <v>35000.0</v>
      </c>
    </row>
    <row r="79" ht="16.5" customHeight="1">
      <c r="C79" s="8"/>
      <c r="D79" s="8" t="s">
        <v>149</v>
      </c>
      <c r="E79" s="8"/>
      <c r="F79" s="8"/>
      <c r="G79" s="8"/>
      <c r="H79" s="8"/>
      <c r="I79" s="8"/>
      <c r="J79" s="8"/>
      <c r="K79" s="75">
        <v>33000.0</v>
      </c>
    </row>
    <row r="80" ht="16.5" customHeight="1">
      <c r="C80" s="8"/>
      <c r="D80" s="8" t="s">
        <v>150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151</v>
      </c>
      <c r="E81" s="8"/>
      <c r="F81" s="8"/>
      <c r="G81" s="8"/>
      <c r="H81" s="8"/>
      <c r="I81" s="8"/>
      <c r="J81" s="8"/>
      <c r="K81" s="75">
        <v>32000.0</v>
      </c>
    </row>
    <row r="82" ht="16.5" customHeight="1">
      <c r="C82" s="8"/>
      <c r="D82" s="8" t="s">
        <v>153</v>
      </c>
      <c r="E82" s="8"/>
      <c r="F82" s="8"/>
      <c r="G82" s="8"/>
      <c r="H82" s="8"/>
      <c r="I82" s="8"/>
      <c r="J82" s="8"/>
      <c r="K82" s="75">
        <v>33000.0</v>
      </c>
    </row>
    <row r="83" ht="16.5" customHeight="1">
      <c r="C83" s="8"/>
      <c r="D83" s="8" t="s">
        <v>154</v>
      </c>
      <c r="E83" s="8"/>
      <c r="F83" s="8"/>
      <c r="G83" s="8"/>
      <c r="H83" s="8"/>
      <c r="I83" s="8"/>
      <c r="J83" s="8"/>
      <c r="K83" s="75">
        <v>40000.0</v>
      </c>
    </row>
    <row r="84" ht="16.5" customHeight="1">
      <c r="C84" s="8"/>
      <c r="D84" s="8" t="s">
        <v>155</v>
      </c>
      <c r="E84" s="8"/>
      <c r="F84" s="8"/>
      <c r="G84" s="8"/>
      <c r="H84" s="8"/>
      <c r="I84" s="8"/>
      <c r="J84" s="8"/>
      <c r="K84" s="75">
        <v>35000.0</v>
      </c>
    </row>
    <row r="85" ht="16.5" customHeight="1">
      <c r="C85" s="8"/>
      <c r="D85" s="8" t="s">
        <v>156</v>
      </c>
      <c r="E85" s="8"/>
      <c r="F85" s="8"/>
      <c r="G85" s="8"/>
      <c r="H85" s="8"/>
      <c r="I85" s="8"/>
      <c r="J85" s="8"/>
      <c r="K85" s="74"/>
    </row>
    <row r="86" ht="16.5" customHeight="1">
      <c r="C86" s="8"/>
      <c r="D86" s="8" t="s">
        <v>157</v>
      </c>
      <c r="E86" s="8"/>
      <c r="F86" s="8"/>
      <c r="G86" s="8"/>
      <c r="H86" s="8"/>
      <c r="I86" s="8"/>
      <c r="J86" s="8"/>
      <c r="K86" s="74"/>
    </row>
    <row r="87" ht="16.5" customHeight="1">
      <c r="C87" s="8"/>
      <c r="D87" s="8" t="s">
        <v>158</v>
      </c>
      <c r="E87" s="8"/>
      <c r="F87" s="8"/>
      <c r="G87" s="8"/>
      <c r="H87" s="8"/>
      <c r="I87" s="8"/>
      <c r="J87" s="8"/>
      <c r="K87" s="74"/>
    </row>
    <row r="88" ht="16.5" customHeight="1">
      <c r="C88" s="8"/>
      <c r="D88" s="8" t="s">
        <v>159</v>
      </c>
      <c r="E88" s="8"/>
      <c r="F88" s="8"/>
      <c r="G88" s="8"/>
      <c r="H88" s="8"/>
      <c r="I88" s="8"/>
      <c r="J88" s="8"/>
      <c r="K88" s="75">
        <v>35000.0</v>
      </c>
    </row>
    <row r="89" ht="16.5" customHeight="1">
      <c r="C89" s="8"/>
      <c r="D89" s="8" t="s">
        <v>160</v>
      </c>
      <c r="E89" s="8"/>
      <c r="F89" s="8"/>
      <c r="G89" s="8"/>
      <c r="H89" s="8"/>
      <c r="I89" s="8"/>
      <c r="J89" s="8"/>
      <c r="K89" s="75">
        <v>30000.0</v>
      </c>
    </row>
    <row r="90" ht="16.5" customHeight="1">
      <c r="C90" s="8"/>
      <c r="D90" s="8" t="s">
        <v>161</v>
      </c>
      <c r="E90" s="8"/>
      <c r="F90" s="8"/>
      <c r="G90" s="8"/>
      <c r="H90" s="8"/>
      <c r="I90" s="8"/>
      <c r="J90" s="8"/>
      <c r="K90" s="75">
        <v>65000.0</v>
      </c>
    </row>
    <row r="91" ht="16.5" customHeight="1">
      <c r="C91" s="8"/>
      <c r="D91" s="8" t="s">
        <v>163</v>
      </c>
      <c r="E91" s="8"/>
      <c r="F91" s="8"/>
      <c r="G91" s="8"/>
      <c r="H91" s="8"/>
      <c r="I91" s="8"/>
      <c r="J91" s="8"/>
      <c r="K91" s="75">
        <v>33000.0</v>
      </c>
    </row>
    <row r="92" ht="16.5" customHeight="1">
      <c r="C92" s="8"/>
      <c r="D92" s="8" t="s">
        <v>164</v>
      </c>
      <c r="E92" s="8"/>
      <c r="F92" s="8"/>
      <c r="G92" s="8"/>
      <c r="H92" s="8"/>
      <c r="I92" s="8"/>
      <c r="J92" s="8"/>
      <c r="K92" s="75">
        <v>40000.0</v>
      </c>
    </row>
    <row r="93" ht="16.5" customHeight="1">
      <c r="C93" s="8"/>
      <c r="D93" s="8" t="s">
        <v>165</v>
      </c>
      <c r="E93" s="8"/>
      <c r="F93" s="8"/>
      <c r="G93" s="8"/>
      <c r="H93" s="8"/>
      <c r="I93" s="8"/>
      <c r="J93" s="8"/>
      <c r="K93" s="74"/>
    </row>
    <row r="94" ht="16.5" customHeight="1">
      <c r="C94" s="8"/>
      <c r="D94" s="8" t="s">
        <v>166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167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168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169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170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171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173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174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175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176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177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178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179</v>
      </c>
      <c r="E106" s="8"/>
      <c r="F106" s="8"/>
      <c r="G106" s="8"/>
      <c r="H106" s="8"/>
      <c r="I106" s="8"/>
      <c r="J106" s="8"/>
      <c r="K106" s="74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7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G23:H23"/>
    <mergeCell ref="G24:H24"/>
    <mergeCell ref="G25:H25"/>
    <mergeCell ref="G26:H26"/>
    <mergeCell ref="G27:H27"/>
    <mergeCell ref="Q27:R27"/>
    <mergeCell ref="G28:H28"/>
    <mergeCell ref="G29:H29"/>
    <mergeCell ref="C30:F30"/>
    <mergeCell ref="G30:H30"/>
    <mergeCell ref="Q30:R30"/>
    <mergeCell ref="Q31:R31"/>
    <mergeCell ref="Q32:R32"/>
    <mergeCell ref="Q33:R33"/>
    <mergeCell ref="D59:J59"/>
    <mergeCell ref="D65:G65"/>
    <mergeCell ref="Q34:R34"/>
    <mergeCell ref="Q35:R35"/>
    <mergeCell ref="Q36:R36"/>
    <mergeCell ref="Q37:R37"/>
    <mergeCell ref="M38:P38"/>
    <mergeCell ref="Q38:R38"/>
    <mergeCell ref="D58:J58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11" t="s">
        <v>7</v>
      </c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18</v>
      </c>
      <c r="L12" s="23"/>
      <c r="M12" s="24"/>
      <c r="O12" s="21"/>
      <c r="P12" s="5"/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O13" s="27" t="s">
        <v>25</v>
      </c>
      <c r="P13" s="9"/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O14" s="21" t="s">
        <v>30</v>
      </c>
      <c r="P14" s="9"/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O15" s="21" t="s">
        <v>36</v>
      </c>
      <c r="P15" s="9"/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O16" s="21" t="s">
        <v>41</v>
      </c>
      <c r="P16" s="9"/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O17" s="21" t="s">
        <v>46</v>
      </c>
      <c r="P17" s="9"/>
      <c r="T17" s="25" t="s">
        <v>47</v>
      </c>
    </row>
    <row r="18" ht="16.5" customHeight="1">
      <c r="A18" s="22"/>
      <c r="B18" s="22"/>
      <c r="C18" s="12"/>
      <c r="D18" s="5"/>
      <c r="E18" s="9"/>
      <c r="O18" s="21" t="s">
        <v>49</v>
      </c>
      <c r="P18" s="5"/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7" t="s">
        <v>52</v>
      </c>
      <c r="P19" s="5"/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O20" s="27" t="s">
        <v>61</v>
      </c>
      <c r="P20" s="5"/>
      <c r="T20" s="25" t="s">
        <v>62</v>
      </c>
    </row>
    <row r="21" ht="16.5" customHeight="1">
      <c r="A21" s="38"/>
      <c r="B21" s="39">
        <v>1.0</v>
      </c>
      <c r="C21" s="5" t="s">
        <v>63</v>
      </c>
      <c r="D21" s="40"/>
      <c r="E21" s="40"/>
      <c r="F21" s="41"/>
      <c r="G21" s="42">
        <v>4.0</v>
      </c>
      <c r="H21" s="30"/>
      <c r="I21" s="43">
        <v>37.0</v>
      </c>
      <c r="J21" s="47">
        <f t="shared" ref="J21:J24" si="1">G21*I21</f>
        <v>148</v>
      </c>
      <c r="O21" s="5" t="s">
        <v>68</v>
      </c>
      <c r="P21" s="5"/>
      <c r="T21" s="48" t="s">
        <v>69</v>
      </c>
    </row>
    <row r="22" ht="16.5" customHeight="1">
      <c r="A22" s="38"/>
      <c r="B22" s="39">
        <v>2.0</v>
      </c>
      <c r="C22" s="28" t="s">
        <v>71</v>
      </c>
      <c r="D22" s="29"/>
      <c r="E22" s="29"/>
      <c r="F22" s="30"/>
      <c r="G22" s="42">
        <v>10.0</v>
      </c>
      <c r="H22" s="30"/>
      <c r="I22" s="49">
        <v>50.0</v>
      </c>
      <c r="J22" s="47">
        <f t="shared" si="1"/>
        <v>500</v>
      </c>
      <c r="T22" s="48"/>
    </row>
    <row r="23" ht="16.5" customHeight="1">
      <c r="A23" s="38"/>
      <c r="B23" s="39">
        <v>3.0</v>
      </c>
      <c r="C23" s="28" t="s">
        <v>74</v>
      </c>
      <c r="D23" s="29"/>
      <c r="E23" s="29"/>
      <c r="F23" s="30"/>
      <c r="G23" s="42">
        <v>10.0</v>
      </c>
      <c r="H23" s="30"/>
      <c r="I23" s="49">
        <v>52.0</v>
      </c>
      <c r="J23" s="47">
        <f t="shared" si="1"/>
        <v>520</v>
      </c>
      <c r="T23" s="48"/>
    </row>
    <row r="24" ht="16.5" customHeight="1">
      <c r="A24" s="38"/>
      <c r="B24" s="39">
        <v>4.0</v>
      </c>
      <c r="C24" s="28" t="s">
        <v>76</v>
      </c>
      <c r="D24" s="29"/>
      <c r="E24" s="29"/>
      <c r="F24" s="30"/>
      <c r="G24" s="42">
        <v>10.0</v>
      </c>
      <c r="H24" s="30"/>
      <c r="I24" s="50">
        <v>37.0</v>
      </c>
      <c r="J24" s="47">
        <f t="shared" si="1"/>
        <v>370</v>
      </c>
    </row>
    <row r="25" ht="16.5" customHeight="1">
      <c r="A25" s="38"/>
      <c r="B25" s="39">
        <v>5.0</v>
      </c>
      <c r="C25" s="28" t="s">
        <v>78</v>
      </c>
      <c r="D25" s="29"/>
      <c r="E25" s="29"/>
      <c r="F25" s="30"/>
      <c r="G25" s="42">
        <v>10.0</v>
      </c>
      <c r="H25" s="30"/>
      <c r="I25" s="50">
        <v>37.0</v>
      </c>
      <c r="J25" s="50">
        <v>45.0</v>
      </c>
    </row>
    <row r="26" ht="16.5" customHeight="1">
      <c r="A26" s="38"/>
      <c r="B26" s="39">
        <v>6.0</v>
      </c>
      <c r="C26" s="28" t="s">
        <v>82</v>
      </c>
      <c r="D26" s="29"/>
      <c r="E26" s="29"/>
      <c r="F26" s="30"/>
      <c r="G26" s="42">
        <v>8.0</v>
      </c>
      <c r="H26" s="30"/>
      <c r="I26" s="50">
        <v>35.0</v>
      </c>
      <c r="J26" s="47">
        <f t="shared" ref="J26:J28" si="2">G26*I26</f>
        <v>280</v>
      </c>
    </row>
    <row r="27" ht="16.5" customHeight="1">
      <c r="A27" s="38"/>
      <c r="B27" s="39">
        <v>7.0</v>
      </c>
      <c r="C27" s="28" t="s">
        <v>87</v>
      </c>
      <c r="D27" s="29"/>
      <c r="E27" s="29"/>
      <c r="F27" s="30"/>
      <c r="G27" s="42">
        <v>8.0</v>
      </c>
      <c r="H27" s="30"/>
      <c r="I27" s="50">
        <v>37.0</v>
      </c>
      <c r="J27" s="47">
        <f t="shared" si="2"/>
        <v>296</v>
      </c>
    </row>
    <row r="28" ht="16.5" customHeight="1">
      <c r="A28" s="38"/>
      <c r="B28" s="39">
        <v>8.0</v>
      </c>
      <c r="C28" s="51" t="s">
        <v>90</v>
      </c>
      <c r="D28" s="29"/>
      <c r="E28" s="29"/>
      <c r="F28" s="30"/>
      <c r="G28" s="42">
        <f>G29/30</f>
        <v>2</v>
      </c>
      <c r="H28" s="30"/>
      <c r="I28" s="50">
        <v>120.0</v>
      </c>
      <c r="J28" s="47">
        <f t="shared" si="2"/>
        <v>240</v>
      </c>
    </row>
    <row r="29" ht="16.5" customHeight="1">
      <c r="A29" s="10"/>
      <c r="B29" s="52" t="s">
        <v>93</v>
      </c>
      <c r="C29" s="53"/>
      <c r="D29" s="53"/>
      <c r="E29" s="53"/>
      <c r="F29" s="53"/>
      <c r="G29" s="53">
        <f>SUM(G21:H27)</f>
        <v>60</v>
      </c>
      <c r="H29" s="53"/>
      <c r="I29" s="54" t="s">
        <v>98</v>
      </c>
      <c r="J29" s="55">
        <f>SUM(J21:J28)</f>
        <v>2399</v>
      </c>
    </row>
    <row r="30" ht="28.5" customHeight="1">
      <c r="A30" s="56"/>
      <c r="B30" s="56" t="s">
        <v>102</v>
      </c>
      <c r="C30" s="9"/>
      <c r="D30" s="9"/>
      <c r="E30" s="9"/>
      <c r="F30" s="9"/>
      <c r="G30" s="9"/>
      <c r="H30" s="9"/>
      <c r="I30" s="9"/>
    </row>
    <row r="31" ht="16.5" customHeight="1">
      <c r="A31" s="9"/>
      <c r="B31" s="9"/>
      <c r="F31" s="9"/>
    </row>
    <row r="32" ht="16.5" customHeight="1">
      <c r="A32" s="58"/>
      <c r="B32" s="58" t="s">
        <v>104</v>
      </c>
      <c r="C32" s="9"/>
      <c r="D32" s="9"/>
      <c r="F32" s="9"/>
    </row>
    <row r="33" ht="7.5" customHeight="1">
      <c r="M33" s="10"/>
      <c r="N33" s="10"/>
      <c r="O33" s="9"/>
      <c r="Q33" s="9"/>
    </row>
    <row r="34" ht="16.5" customHeight="1">
      <c r="A34" s="10"/>
      <c r="B34" s="61" t="s">
        <v>105</v>
      </c>
      <c r="C34" s="62"/>
      <c r="D34" s="5" t="s">
        <v>15</v>
      </c>
      <c r="E34" s="9" t="s">
        <v>107</v>
      </c>
      <c r="G34" s="62"/>
      <c r="L34" s="63"/>
      <c r="M34" s="10"/>
      <c r="N34" s="10"/>
      <c r="O34" s="9"/>
      <c r="Q34" s="9"/>
    </row>
    <row r="35" ht="16.5" customHeight="1">
      <c r="A35" s="10"/>
      <c r="B35" s="61" t="s">
        <v>108</v>
      </c>
      <c r="D35" s="5" t="s">
        <v>15</v>
      </c>
      <c r="E35" s="9" t="s">
        <v>107</v>
      </c>
      <c r="M35" s="10"/>
      <c r="N35" s="10"/>
      <c r="O35" s="9"/>
    </row>
    <row r="36" ht="16.5" customHeight="1">
      <c r="E36" s="9" t="s">
        <v>109</v>
      </c>
      <c r="M36" s="10"/>
      <c r="N36" s="10"/>
      <c r="O36" s="9"/>
    </row>
    <row r="37" ht="16.5" customHeight="1">
      <c r="M37" s="10"/>
      <c r="N37" s="62"/>
      <c r="R37" s="62"/>
    </row>
    <row r="38" ht="16.5" customHeight="1">
      <c r="A38" s="62"/>
      <c r="B38" s="62"/>
      <c r="C38" s="62"/>
    </row>
    <row r="39" ht="16.5" customHeight="1">
      <c r="U39" s="5" t="s">
        <v>111</v>
      </c>
    </row>
    <row r="40" ht="16.5" customHeight="1">
      <c r="A40" s="9"/>
      <c r="B40" s="9"/>
      <c r="E40" s="9"/>
      <c r="G40" s="62"/>
      <c r="U40" s="5" t="s">
        <v>112</v>
      </c>
    </row>
    <row r="41" ht="16.5" customHeight="1">
      <c r="A41" s="9"/>
      <c r="B41" s="9"/>
      <c r="E41" s="9"/>
      <c r="G41" s="62"/>
    </row>
    <row r="42" ht="16.5" customHeight="1">
      <c r="U42" s="5" t="s">
        <v>113</v>
      </c>
    </row>
    <row r="43" ht="16.5" customHeight="1">
      <c r="U43" s="5" t="s">
        <v>114</v>
      </c>
    </row>
    <row r="44" ht="16.5" customHeight="1">
      <c r="I44" s="23"/>
      <c r="J44" s="66"/>
      <c r="K44" s="66"/>
      <c r="U44" s="5" t="s">
        <v>115</v>
      </c>
    </row>
    <row r="45" ht="16.5" customHeight="1">
      <c r="F45" s="68" t="s">
        <v>117</v>
      </c>
      <c r="G45" s="69"/>
      <c r="H45" s="69"/>
      <c r="I45" s="69"/>
      <c r="J45" s="69"/>
      <c r="U45" s="5" t="s">
        <v>119</v>
      </c>
    </row>
    <row r="46" ht="16.5" customHeight="1">
      <c r="U46" s="5" t="s">
        <v>120</v>
      </c>
    </row>
    <row r="47" ht="16.5" customHeight="1">
      <c r="A47" s="70"/>
      <c r="B47" s="70"/>
      <c r="U47" s="5" t="s">
        <v>121</v>
      </c>
    </row>
    <row r="48" ht="16.5" customHeight="1">
      <c r="A48" s="70"/>
      <c r="B48" s="70"/>
      <c r="U48" s="5" t="s">
        <v>122</v>
      </c>
    </row>
    <row r="49" ht="16.5" customHeight="1">
      <c r="A49" s="26"/>
      <c r="B49" s="26"/>
      <c r="U49" s="5" t="s">
        <v>123</v>
      </c>
    </row>
    <row r="50" ht="16.5" customHeight="1">
      <c r="A50" s="71"/>
      <c r="B50" s="71"/>
    </row>
    <row r="51" ht="16.5" customHeight="1"/>
    <row r="52" ht="16.5" customHeight="1"/>
    <row r="53" ht="16.5" customHeight="1"/>
    <row r="54" ht="16.5" customHeight="1"/>
    <row r="55" ht="16.5" customHeight="1">
      <c r="C55" s="8"/>
      <c r="D55" s="72" t="s">
        <v>124</v>
      </c>
      <c r="E55" s="73"/>
      <c r="F55" s="73"/>
      <c r="G55" s="73"/>
      <c r="H55" s="8"/>
      <c r="I55" s="8"/>
      <c r="J55" s="8"/>
      <c r="K55" s="74"/>
    </row>
    <row r="56" ht="16.5" customHeight="1">
      <c r="C56" s="8"/>
      <c r="D56" s="8" t="s">
        <v>126</v>
      </c>
      <c r="K56" s="75">
        <v>35000.0</v>
      </c>
    </row>
    <row r="57" ht="16.5" customHeight="1">
      <c r="C57" s="8"/>
      <c r="D57" s="8" t="s">
        <v>127</v>
      </c>
      <c r="K57" s="75">
        <v>40000.0</v>
      </c>
    </row>
    <row r="58" ht="16.5" customHeight="1">
      <c r="C58" s="8"/>
      <c r="D58" s="8" t="s">
        <v>128</v>
      </c>
      <c r="E58" s="8"/>
      <c r="F58" s="8"/>
      <c r="G58" s="8"/>
      <c r="H58" s="8"/>
      <c r="I58" s="8"/>
      <c r="J58" s="8"/>
      <c r="K58" s="75">
        <v>65000.0</v>
      </c>
    </row>
    <row r="59" ht="16.5" customHeight="1">
      <c r="C59" s="8"/>
      <c r="D59" s="8" t="s">
        <v>129</v>
      </c>
      <c r="E59" s="8"/>
      <c r="F59" s="8"/>
      <c r="G59" s="8"/>
      <c r="H59" s="8"/>
      <c r="I59" s="8"/>
      <c r="J59" s="8"/>
      <c r="K59" s="75">
        <v>65000.0</v>
      </c>
    </row>
    <row r="60" ht="16.5" customHeight="1">
      <c r="C60" s="8"/>
      <c r="D60" s="8" t="s">
        <v>130</v>
      </c>
      <c r="E60" s="8"/>
      <c r="F60" s="8"/>
      <c r="G60" s="8"/>
      <c r="H60" s="8"/>
      <c r="I60" s="8"/>
      <c r="J60" s="8"/>
      <c r="K60" s="75">
        <v>35000.0</v>
      </c>
    </row>
    <row r="61" ht="16.5" customHeight="1">
      <c r="C61" s="8"/>
      <c r="D61" s="8" t="s">
        <v>131</v>
      </c>
      <c r="E61" s="8"/>
      <c r="F61" s="8"/>
      <c r="G61" s="8"/>
      <c r="H61" s="8"/>
      <c r="I61" s="8"/>
      <c r="J61" s="8"/>
      <c r="K61" s="75">
        <v>37000.0</v>
      </c>
    </row>
    <row r="62" ht="16.5" customHeight="1">
      <c r="C62" s="8"/>
      <c r="D62" s="8" t="s">
        <v>133</v>
      </c>
      <c r="E62" s="8"/>
      <c r="F62" s="8"/>
      <c r="G62" s="8"/>
      <c r="H62" s="8"/>
      <c r="I62" s="8"/>
      <c r="J62" s="8"/>
      <c r="K62" s="75">
        <v>32000.0</v>
      </c>
    </row>
    <row r="63" ht="16.5" customHeight="1">
      <c r="C63" s="8"/>
      <c r="D63" s="8" t="s">
        <v>134</v>
      </c>
      <c r="H63" s="8"/>
      <c r="I63" s="8"/>
      <c r="J63" s="8"/>
      <c r="K63" s="75">
        <v>55000.0</v>
      </c>
    </row>
    <row r="64" ht="16.5" customHeight="1">
      <c r="C64" s="8"/>
      <c r="D64" s="8" t="s">
        <v>135</v>
      </c>
      <c r="E64" s="8"/>
      <c r="F64" s="8"/>
      <c r="G64" s="8"/>
      <c r="H64" s="8"/>
      <c r="I64" s="8"/>
      <c r="J64" s="8"/>
      <c r="K64" s="75">
        <v>60000.0</v>
      </c>
    </row>
    <row r="65" ht="16.5" customHeight="1">
      <c r="C65" s="8"/>
      <c r="D65" s="8" t="s">
        <v>136</v>
      </c>
      <c r="E65" s="8"/>
      <c r="F65" s="8"/>
      <c r="G65" s="8"/>
      <c r="H65" s="8"/>
      <c r="I65" s="8"/>
      <c r="J65" s="8"/>
      <c r="K65" s="75">
        <v>40000.0</v>
      </c>
    </row>
    <row r="66" ht="16.5" customHeight="1">
      <c r="C66" s="8"/>
      <c r="D66" s="8" t="s">
        <v>137</v>
      </c>
      <c r="E66" s="8"/>
      <c r="F66" s="8"/>
      <c r="G66" s="8"/>
      <c r="H66" s="8"/>
      <c r="I66" s="8"/>
      <c r="J66" s="8"/>
      <c r="K66" s="75">
        <v>27000.0</v>
      </c>
    </row>
    <row r="67" ht="16.5" customHeight="1">
      <c r="C67" s="8"/>
      <c r="D67" s="8" t="s">
        <v>138</v>
      </c>
      <c r="E67" s="8"/>
      <c r="F67" s="8"/>
      <c r="G67" s="8"/>
      <c r="H67" s="8"/>
      <c r="I67" s="8"/>
      <c r="J67" s="8"/>
      <c r="K67" s="75">
        <v>32000.0</v>
      </c>
    </row>
    <row r="68" ht="16.5" customHeight="1">
      <c r="C68" s="8"/>
      <c r="D68" s="8" t="s">
        <v>139</v>
      </c>
      <c r="E68" s="8"/>
      <c r="F68" s="8"/>
      <c r="G68" s="8"/>
      <c r="H68" s="8"/>
      <c r="I68" s="8"/>
      <c r="J68" s="8"/>
      <c r="K68" s="75">
        <v>27000.0</v>
      </c>
    </row>
    <row r="69" ht="16.5" customHeight="1">
      <c r="C69" s="8"/>
      <c r="D69" s="8" t="s">
        <v>140</v>
      </c>
      <c r="E69" s="8"/>
      <c r="F69" s="8"/>
      <c r="G69" s="8"/>
      <c r="H69" s="8"/>
      <c r="I69" s="8"/>
      <c r="J69" s="8"/>
      <c r="K69" s="75">
        <v>110000.0</v>
      </c>
    </row>
    <row r="70" ht="16.5" customHeight="1">
      <c r="C70" s="8"/>
      <c r="D70" s="8" t="s">
        <v>142</v>
      </c>
      <c r="E70" s="8"/>
      <c r="F70" s="8"/>
      <c r="G70" s="8"/>
      <c r="H70" s="8"/>
      <c r="I70" s="8"/>
      <c r="J70" s="8"/>
      <c r="K70" s="75">
        <v>30000.0</v>
      </c>
    </row>
    <row r="71" ht="16.5" customHeight="1">
      <c r="C71" s="8"/>
      <c r="D71" s="8" t="s">
        <v>143</v>
      </c>
      <c r="E71" s="8"/>
      <c r="F71" s="8"/>
      <c r="G71" s="8"/>
      <c r="H71" s="8"/>
      <c r="I71" s="8"/>
      <c r="J71" s="8"/>
      <c r="K71" s="75">
        <v>27000.0</v>
      </c>
    </row>
    <row r="72" ht="16.5" customHeight="1">
      <c r="C72" s="8"/>
      <c r="D72" s="8" t="s">
        <v>144</v>
      </c>
      <c r="E72" s="8"/>
      <c r="F72" s="8"/>
      <c r="G72" s="8"/>
      <c r="H72" s="8"/>
      <c r="I72" s="8"/>
      <c r="J72" s="8"/>
      <c r="K72" s="75">
        <v>33000.0</v>
      </c>
    </row>
    <row r="73" ht="16.5" customHeight="1">
      <c r="C73" s="8"/>
      <c r="D73" s="8" t="s">
        <v>145</v>
      </c>
      <c r="E73" s="8"/>
      <c r="F73" s="8"/>
      <c r="G73" s="8"/>
      <c r="H73" s="8"/>
      <c r="I73" s="8"/>
      <c r="J73" s="8"/>
      <c r="K73" s="75">
        <v>35000.0</v>
      </c>
    </row>
    <row r="74" ht="16.5" customHeight="1">
      <c r="C74" s="8"/>
      <c r="D74" s="8" t="s">
        <v>146</v>
      </c>
      <c r="E74" s="8"/>
      <c r="F74" s="8"/>
      <c r="G74" s="8"/>
      <c r="H74" s="8"/>
      <c r="I74" s="8"/>
      <c r="J74" s="8"/>
      <c r="K74" s="75">
        <v>33000.0</v>
      </c>
    </row>
    <row r="75" ht="16.5" customHeight="1">
      <c r="C75" s="8"/>
      <c r="D75" s="8" t="s">
        <v>147</v>
      </c>
      <c r="E75" s="8"/>
      <c r="F75" s="8"/>
      <c r="G75" s="8"/>
      <c r="H75" s="8"/>
      <c r="I75" s="8"/>
      <c r="J75" s="8"/>
      <c r="K75" s="75">
        <v>33000.0</v>
      </c>
    </row>
    <row r="76" ht="16.5" customHeight="1">
      <c r="C76" s="8"/>
      <c r="D76" s="8" t="s">
        <v>148</v>
      </c>
      <c r="E76" s="8"/>
      <c r="F76" s="8"/>
      <c r="G76" s="8"/>
      <c r="H76" s="8"/>
      <c r="I76" s="8"/>
      <c r="J76" s="8"/>
      <c r="K76" s="75">
        <v>35000.0</v>
      </c>
    </row>
    <row r="77" ht="16.5" customHeight="1">
      <c r="C77" s="8"/>
      <c r="D77" s="8" t="s">
        <v>149</v>
      </c>
      <c r="E77" s="8"/>
      <c r="F77" s="8"/>
      <c r="G77" s="8"/>
      <c r="H77" s="8"/>
      <c r="I77" s="8"/>
      <c r="J77" s="8"/>
      <c r="K77" s="75">
        <v>33000.0</v>
      </c>
    </row>
    <row r="78" ht="16.5" customHeight="1">
      <c r="C78" s="8"/>
      <c r="D78" s="8" t="s">
        <v>150</v>
      </c>
      <c r="E78" s="8"/>
      <c r="F78" s="8"/>
      <c r="G78" s="8"/>
      <c r="H78" s="8"/>
      <c r="I78" s="8"/>
      <c r="J78" s="8"/>
      <c r="K78" s="75">
        <v>33000.0</v>
      </c>
    </row>
    <row r="79" ht="16.5" customHeight="1">
      <c r="C79" s="8"/>
      <c r="D79" s="8" t="s">
        <v>151</v>
      </c>
      <c r="E79" s="8"/>
      <c r="F79" s="8"/>
      <c r="G79" s="8"/>
      <c r="H79" s="8"/>
      <c r="I79" s="8"/>
      <c r="J79" s="8"/>
      <c r="K79" s="75">
        <v>32000.0</v>
      </c>
    </row>
    <row r="80" ht="16.5" customHeight="1">
      <c r="C80" s="8"/>
      <c r="D80" s="8" t="s">
        <v>153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154</v>
      </c>
      <c r="E81" s="8"/>
      <c r="F81" s="8"/>
      <c r="G81" s="8"/>
      <c r="H81" s="8"/>
      <c r="I81" s="8"/>
      <c r="J81" s="8"/>
      <c r="K81" s="75">
        <v>40000.0</v>
      </c>
    </row>
    <row r="82" ht="16.5" customHeight="1">
      <c r="C82" s="8"/>
      <c r="D82" s="8" t="s">
        <v>155</v>
      </c>
      <c r="E82" s="8"/>
      <c r="F82" s="8"/>
      <c r="G82" s="8"/>
      <c r="H82" s="8"/>
      <c r="I82" s="8"/>
      <c r="J82" s="8"/>
      <c r="K82" s="75">
        <v>35000.0</v>
      </c>
    </row>
    <row r="83" ht="16.5" customHeight="1">
      <c r="C83" s="8"/>
      <c r="D83" s="8" t="s">
        <v>156</v>
      </c>
      <c r="E83" s="8"/>
      <c r="F83" s="8"/>
      <c r="G83" s="8"/>
      <c r="H83" s="8"/>
      <c r="I83" s="8"/>
      <c r="J83" s="8"/>
      <c r="K83" s="74"/>
    </row>
    <row r="84" ht="16.5" customHeight="1">
      <c r="C84" s="8"/>
      <c r="D84" s="8" t="s">
        <v>157</v>
      </c>
      <c r="E84" s="8"/>
      <c r="F84" s="8"/>
      <c r="G84" s="8"/>
      <c r="H84" s="8"/>
      <c r="I84" s="8"/>
      <c r="J84" s="8"/>
      <c r="K84" s="74"/>
    </row>
    <row r="85" ht="16.5" customHeight="1">
      <c r="C85" s="8"/>
      <c r="D85" s="8" t="s">
        <v>158</v>
      </c>
      <c r="E85" s="8"/>
      <c r="F85" s="8"/>
      <c r="G85" s="8"/>
      <c r="H85" s="8"/>
      <c r="I85" s="8"/>
      <c r="J85" s="8"/>
      <c r="K85" s="74"/>
    </row>
    <row r="86" ht="16.5" customHeight="1">
      <c r="C86" s="8"/>
      <c r="D86" s="8" t="s">
        <v>159</v>
      </c>
      <c r="E86" s="8"/>
      <c r="F86" s="8"/>
      <c r="G86" s="8"/>
      <c r="H86" s="8"/>
      <c r="I86" s="8"/>
      <c r="J86" s="8"/>
      <c r="K86" s="75">
        <v>35000.0</v>
      </c>
    </row>
    <row r="87" ht="16.5" customHeight="1">
      <c r="C87" s="8"/>
      <c r="D87" s="8" t="s">
        <v>160</v>
      </c>
      <c r="E87" s="8"/>
      <c r="F87" s="8"/>
      <c r="G87" s="8"/>
      <c r="H87" s="8"/>
      <c r="I87" s="8"/>
      <c r="J87" s="8"/>
      <c r="K87" s="75">
        <v>30000.0</v>
      </c>
    </row>
    <row r="88" ht="16.5" customHeight="1">
      <c r="C88" s="8"/>
      <c r="D88" s="8" t="s">
        <v>161</v>
      </c>
      <c r="E88" s="8"/>
      <c r="F88" s="8"/>
      <c r="G88" s="8"/>
      <c r="H88" s="8"/>
      <c r="I88" s="8"/>
      <c r="J88" s="8"/>
      <c r="K88" s="75">
        <v>65000.0</v>
      </c>
    </row>
    <row r="89" ht="16.5" customHeight="1">
      <c r="C89" s="8"/>
      <c r="D89" s="8" t="s">
        <v>163</v>
      </c>
      <c r="E89" s="8"/>
      <c r="F89" s="8"/>
      <c r="G89" s="8"/>
      <c r="H89" s="8"/>
      <c r="I89" s="8"/>
      <c r="J89" s="8"/>
      <c r="K89" s="75">
        <v>33000.0</v>
      </c>
    </row>
    <row r="90" ht="16.5" customHeight="1">
      <c r="C90" s="8"/>
      <c r="D90" s="8" t="s">
        <v>164</v>
      </c>
      <c r="E90" s="8"/>
      <c r="F90" s="8"/>
      <c r="G90" s="8"/>
      <c r="H90" s="8"/>
      <c r="I90" s="8"/>
      <c r="J90" s="8"/>
      <c r="K90" s="75">
        <v>40000.0</v>
      </c>
    </row>
    <row r="91" ht="16.5" customHeight="1">
      <c r="C91" s="8"/>
      <c r="D91" s="8" t="s">
        <v>165</v>
      </c>
      <c r="E91" s="8"/>
      <c r="F91" s="8"/>
      <c r="G91" s="8"/>
      <c r="H91" s="8"/>
      <c r="I91" s="8"/>
      <c r="J91" s="8"/>
      <c r="K91" s="74"/>
    </row>
    <row r="92" ht="16.5" customHeight="1">
      <c r="C92" s="8"/>
      <c r="D92" s="8" t="s">
        <v>166</v>
      </c>
      <c r="E92" s="8"/>
      <c r="F92" s="8"/>
      <c r="G92" s="8"/>
      <c r="H92" s="8"/>
      <c r="I92" s="8"/>
      <c r="J92" s="8"/>
      <c r="K92" s="74"/>
    </row>
    <row r="93" ht="16.5" customHeight="1">
      <c r="C93" s="8"/>
      <c r="D93" s="8" t="s">
        <v>167</v>
      </c>
      <c r="E93" s="8"/>
      <c r="F93" s="8"/>
      <c r="G93" s="8"/>
      <c r="H93" s="8"/>
      <c r="I93" s="8"/>
      <c r="J93" s="8"/>
      <c r="K93" s="74"/>
    </row>
    <row r="94" ht="16.5" customHeight="1">
      <c r="C94" s="8"/>
      <c r="D94" s="8" t="s">
        <v>168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169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170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171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173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174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175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176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177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178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179</v>
      </c>
      <c r="E104" s="8"/>
      <c r="F104" s="8"/>
      <c r="G104" s="8"/>
      <c r="H104" s="8"/>
      <c r="I104" s="8"/>
      <c r="J104" s="8"/>
      <c r="K104" s="74"/>
    </row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0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C22:F22"/>
    <mergeCell ref="C23:F23"/>
    <mergeCell ref="G23:H23"/>
    <mergeCell ref="C24:F24"/>
    <mergeCell ref="G24:H24"/>
    <mergeCell ref="C25:F25"/>
    <mergeCell ref="G25:H25"/>
    <mergeCell ref="D57:J57"/>
    <mergeCell ref="D63:G63"/>
    <mergeCell ref="C26:F26"/>
    <mergeCell ref="G26:H26"/>
    <mergeCell ref="C27:F27"/>
    <mergeCell ref="G27:H27"/>
    <mergeCell ref="C28:F28"/>
    <mergeCell ref="G28:H28"/>
    <mergeCell ref="D56:J56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11" t="s">
        <v>9</v>
      </c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17</v>
      </c>
      <c r="L12" s="23"/>
      <c r="M12" s="24"/>
      <c r="O12" s="21"/>
      <c r="P12" s="5"/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O13" s="27" t="s">
        <v>25</v>
      </c>
      <c r="P13" s="9"/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O14" s="21" t="s">
        <v>30</v>
      </c>
      <c r="P14" s="9"/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O15" s="21" t="s">
        <v>36</v>
      </c>
      <c r="P15" s="9"/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O16" s="21" t="s">
        <v>41</v>
      </c>
      <c r="P16" s="9"/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O17" s="21" t="s">
        <v>46</v>
      </c>
      <c r="P17" s="9"/>
      <c r="T17" s="25" t="s">
        <v>47</v>
      </c>
    </row>
    <row r="18" ht="16.5" customHeight="1">
      <c r="A18" s="22"/>
      <c r="B18" s="22"/>
      <c r="C18" s="12"/>
      <c r="D18" s="5"/>
      <c r="E18" s="9"/>
      <c r="O18" s="21" t="s">
        <v>49</v>
      </c>
      <c r="P18" s="5"/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7" t="s">
        <v>52</v>
      </c>
      <c r="P19" s="5"/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O20" s="27" t="s">
        <v>61</v>
      </c>
      <c r="P20" s="5"/>
      <c r="T20" s="25" t="s">
        <v>62</v>
      </c>
    </row>
    <row r="21" ht="16.5" customHeight="1">
      <c r="A21" s="38"/>
      <c r="B21" s="39">
        <v>1.0</v>
      </c>
      <c r="C21" s="5" t="s">
        <v>64</v>
      </c>
      <c r="D21" s="40"/>
      <c r="E21" s="40"/>
      <c r="F21" s="41"/>
      <c r="G21" s="42">
        <v>3.0</v>
      </c>
      <c r="H21" s="30"/>
      <c r="I21" s="43">
        <v>85.0</v>
      </c>
      <c r="J21" s="47">
        <f t="shared" ref="J21:J34" si="1">G21*I21</f>
        <v>255</v>
      </c>
      <c r="O21" s="5" t="s">
        <v>68</v>
      </c>
      <c r="P21" s="5"/>
      <c r="T21" s="48" t="s">
        <v>69</v>
      </c>
    </row>
    <row r="22" ht="16.5" customHeight="1">
      <c r="A22" s="38"/>
      <c r="B22" s="39">
        <v>2.0</v>
      </c>
      <c r="C22" s="28" t="s">
        <v>70</v>
      </c>
      <c r="D22" s="29"/>
      <c r="E22" s="29"/>
      <c r="F22" s="30"/>
      <c r="G22" s="42">
        <v>6.0</v>
      </c>
      <c r="H22" s="30"/>
      <c r="I22" s="49">
        <v>32.0</v>
      </c>
      <c r="J22" s="47">
        <f t="shared" si="1"/>
        <v>192</v>
      </c>
      <c r="T22" s="48"/>
    </row>
    <row r="23" ht="16.5" customHeight="1">
      <c r="A23" s="38"/>
      <c r="B23" s="39">
        <v>3.0</v>
      </c>
      <c r="C23" s="28" t="s">
        <v>73</v>
      </c>
      <c r="D23" s="29"/>
      <c r="E23" s="29"/>
      <c r="F23" s="30"/>
      <c r="G23" s="42">
        <v>3.0</v>
      </c>
      <c r="H23" s="30"/>
      <c r="I23" s="49">
        <v>77.0</v>
      </c>
      <c r="J23" s="47">
        <f t="shared" si="1"/>
        <v>231</v>
      </c>
      <c r="T23" s="48"/>
    </row>
    <row r="24" ht="16.5" customHeight="1">
      <c r="A24" s="38"/>
      <c r="B24" s="39">
        <v>4.0</v>
      </c>
      <c r="C24" s="28" t="s">
        <v>77</v>
      </c>
      <c r="D24" s="29"/>
      <c r="E24" s="29"/>
      <c r="F24" s="30"/>
      <c r="G24" s="42">
        <v>2.0</v>
      </c>
      <c r="H24" s="30"/>
      <c r="I24" s="50">
        <v>60.0</v>
      </c>
      <c r="J24" s="47">
        <f t="shared" si="1"/>
        <v>120</v>
      </c>
    </row>
    <row r="25" ht="16.5" customHeight="1">
      <c r="A25" s="38"/>
      <c r="B25" s="39">
        <v>5.0</v>
      </c>
      <c r="C25" s="28" t="s">
        <v>80</v>
      </c>
      <c r="D25" s="29"/>
      <c r="E25" s="29"/>
      <c r="F25" s="30"/>
      <c r="G25" s="42">
        <v>2.0</v>
      </c>
      <c r="H25" s="30"/>
      <c r="I25" s="50">
        <v>87.0</v>
      </c>
      <c r="J25" s="47">
        <f t="shared" si="1"/>
        <v>174</v>
      </c>
    </row>
    <row r="26" ht="16.5" customHeight="1">
      <c r="A26" s="38"/>
      <c r="B26" s="39">
        <v>6.0</v>
      </c>
      <c r="C26" s="28" t="s">
        <v>83</v>
      </c>
      <c r="D26" s="29"/>
      <c r="E26" s="29"/>
      <c r="F26" s="30"/>
      <c r="G26" s="42">
        <v>3.0</v>
      </c>
      <c r="H26" s="30"/>
      <c r="I26" s="50">
        <v>47.0</v>
      </c>
      <c r="J26" s="47">
        <f t="shared" si="1"/>
        <v>141</v>
      </c>
    </row>
    <row r="27" ht="16.5" customHeight="1">
      <c r="A27" s="38"/>
      <c r="B27" s="39">
        <v>7.0</v>
      </c>
      <c r="C27" s="28" t="s">
        <v>85</v>
      </c>
      <c r="D27" s="29"/>
      <c r="E27" s="29"/>
      <c r="F27" s="30"/>
      <c r="G27" s="42">
        <v>3.0</v>
      </c>
      <c r="H27" s="30"/>
      <c r="I27" s="50">
        <v>60.0</v>
      </c>
      <c r="J27" s="47">
        <f t="shared" si="1"/>
        <v>180</v>
      </c>
    </row>
    <row r="28" ht="16.5" customHeight="1">
      <c r="A28" s="38"/>
      <c r="B28" s="39">
        <v>8.0</v>
      </c>
      <c r="C28" s="28" t="s">
        <v>89</v>
      </c>
      <c r="D28" s="29"/>
      <c r="E28" s="29"/>
      <c r="F28" s="30"/>
      <c r="G28" s="42">
        <v>2.0</v>
      </c>
      <c r="H28" s="30"/>
      <c r="I28" s="50">
        <v>42.0</v>
      </c>
      <c r="J28" s="47">
        <f t="shared" si="1"/>
        <v>84</v>
      </c>
    </row>
    <row r="29" ht="16.5" customHeight="1">
      <c r="A29" s="38"/>
      <c r="B29" s="39">
        <v>9.0</v>
      </c>
      <c r="C29" s="28" t="s">
        <v>91</v>
      </c>
      <c r="D29" s="29"/>
      <c r="E29" s="29"/>
      <c r="F29" s="30"/>
      <c r="G29" s="42">
        <v>6.0</v>
      </c>
      <c r="H29" s="30"/>
      <c r="I29" s="50">
        <v>41.0</v>
      </c>
      <c r="J29" s="47">
        <f t="shared" si="1"/>
        <v>246</v>
      </c>
    </row>
    <row r="30" ht="16.5" customHeight="1">
      <c r="A30" s="38"/>
      <c r="B30" s="39">
        <v>10.0</v>
      </c>
      <c r="C30" s="28" t="s">
        <v>92</v>
      </c>
      <c r="D30" s="29"/>
      <c r="E30" s="29"/>
      <c r="F30" s="30"/>
      <c r="G30" s="42">
        <v>3.0</v>
      </c>
      <c r="H30" s="30"/>
      <c r="I30" s="50">
        <v>60.0</v>
      </c>
      <c r="J30" s="47">
        <f t="shared" si="1"/>
        <v>180</v>
      </c>
    </row>
    <row r="31" ht="16.5" customHeight="1">
      <c r="A31" s="38"/>
      <c r="B31" s="39">
        <v>11.0</v>
      </c>
      <c r="C31" s="28" t="s">
        <v>96</v>
      </c>
      <c r="D31" s="29"/>
      <c r="E31" s="29"/>
      <c r="F31" s="30"/>
      <c r="G31" s="42">
        <v>6.0</v>
      </c>
      <c r="H31" s="30"/>
      <c r="I31" s="50">
        <v>43.0</v>
      </c>
      <c r="J31" s="47">
        <f t="shared" si="1"/>
        <v>258</v>
      </c>
    </row>
    <row r="32" ht="16.5" customHeight="1">
      <c r="A32" s="38"/>
      <c r="B32" s="39">
        <v>12.0</v>
      </c>
      <c r="C32" s="28" t="s">
        <v>99</v>
      </c>
      <c r="D32" s="29"/>
      <c r="E32" s="29"/>
      <c r="F32" s="30"/>
      <c r="G32" s="42">
        <v>6.0</v>
      </c>
      <c r="H32" s="30"/>
      <c r="I32" s="50">
        <v>64.0</v>
      </c>
      <c r="J32" s="47">
        <f t="shared" si="1"/>
        <v>384</v>
      </c>
    </row>
    <row r="33" ht="16.5" customHeight="1">
      <c r="A33" s="38"/>
      <c r="B33" s="39">
        <v>13.0</v>
      </c>
      <c r="C33" s="28" t="s">
        <v>101</v>
      </c>
      <c r="D33" s="29"/>
      <c r="E33" s="29"/>
      <c r="F33" s="30"/>
      <c r="G33" s="42">
        <v>6.0</v>
      </c>
      <c r="H33" s="30"/>
      <c r="I33" s="50">
        <v>43.0</v>
      </c>
      <c r="J33" s="47">
        <f t="shared" si="1"/>
        <v>258</v>
      </c>
    </row>
    <row r="34" ht="16.5" customHeight="1">
      <c r="A34" s="38"/>
      <c r="B34" s="39">
        <v>11.0</v>
      </c>
      <c r="C34" s="28" t="s">
        <v>96</v>
      </c>
      <c r="D34" s="29"/>
      <c r="E34" s="29"/>
      <c r="F34" s="30"/>
      <c r="G34" s="42">
        <v>2.0</v>
      </c>
      <c r="H34" s="30"/>
      <c r="I34" s="50">
        <v>120.0</v>
      </c>
      <c r="J34" s="47">
        <f t="shared" si="1"/>
        <v>240</v>
      </c>
    </row>
    <row r="35" ht="16.5" customHeight="1">
      <c r="A35" s="10"/>
      <c r="B35" s="52" t="s">
        <v>93</v>
      </c>
      <c r="C35" s="53"/>
      <c r="D35" s="53"/>
      <c r="E35" s="53"/>
      <c r="F35" s="53"/>
      <c r="G35" s="53">
        <f>SUM(G21:H30)</f>
        <v>33</v>
      </c>
      <c r="H35" s="53"/>
      <c r="I35" s="54" t="s">
        <v>98</v>
      </c>
      <c r="J35" s="55">
        <f>SUM(J21:J34)</f>
        <v>2943</v>
      </c>
    </row>
    <row r="36" ht="28.5" customHeight="1">
      <c r="A36" s="56"/>
      <c r="B36" s="56" t="s">
        <v>102</v>
      </c>
      <c r="C36" s="9"/>
      <c r="D36" s="9"/>
      <c r="E36" s="9"/>
      <c r="F36" s="9"/>
      <c r="G36" s="9"/>
      <c r="H36" s="9"/>
      <c r="I36" s="9"/>
    </row>
    <row r="37" ht="16.5" customHeight="1">
      <c r="A37" s="9"/>
      <c r="B37" s="9"/>
      <c r="F37" s="9"/>
    </row>
    <row r="38" ht="16.5" customHeight="1">
      <c r="A38" s="58"/>
      <c r="B38" s="58" t="s">
        <v>104</v>
      </c>
      <c r="C38" s="9"/>
      <c r="D38" s="9"/>
      <c r="F38" s="9"/>
    </row>
    <row r="39" ht="7.5" customHeight="1">
      <c r="M39" s="10"/>
      <c r="N39" s="10"/>
      <c r="O39" s="9"/>
      <c r="Q39" s="9"/>
    </row>
    <row r="40" ht="16.5" customHeight="1">
      <c r="A40" s="10"/>
      <c r="B40" s="61" t="s">
        <v>105</v>
      </c>
      <c r="C40" s="62"/>
      <c r="D40" s="5" t="s">
        <v>15</v>
      </c>
      <c r="E40" s="9" t="s">
        <v>107</v>
      </c>
      <c r="G40" s="62"/>
      <c r="L40" s="63"/>
      <c r="M40" s="10"/>
      <c r="N40" s="10"/>
      <c r="O40" s="9"/>
      <c r="Q40" s="9"/>
    </row>
    <row r="41" ht="16.5" customHeight="1">
      <c r="A41" s="10"/>
      <c r="B41" s="61" t="s">
        <v>108</v>
      </c>
      <c r="D41" s="5" t="s">
        <v>15</v>
      </c>
      <c r="E41" s="9" t="s">
        <v>107</v>
      </c>
      <c r="M41" s="10"/>
      <c r="N41" s="10"/>
      <c r="O41" s="9"/>
    </row>
    <row r="42" ht="16.5" customHeight="1">
      <c r="E42" s="9" t="s">
        <v>109</v>
      </c>
      <c r="M42" s="10"/>
      <c r="N42" s="10"/>
      <c r="O42" s="9"/>
    </row>
    <row r="43" ht="16.5" customHeight="1">
      <c r="M43" s="10"/>
      <c r="N43" s="62"/>
      <c r="R43" s="62"/>
    </row>
    <row r="44" ht="16.5" customHeight="1">
      <c r="A44" s="62"/>
      <c r="B44" s="62"/>
      <c r="C44" s="62"/>
    </row>
    <row r="45" ht="16.5" customHeight="1">
      <c r="U45" s="5" t="s">
        <v>111</v>
      </c>
    </row>
    <row r="46" ht="16.5" customHeight="1">
      <c r="A46" s="9"/>
      <c r="B46" s="9"/>
      <c r="E46" s="9"/>
      <c r="G46" s="62"/>
      <c r="U46" s="5" t="s">
        <v>112</v>
      </c>
    </row>
    <row r="47" ht="16.5" customHeight="1">
      <c r="A47" s="9"/>
      <c r="B47" s="9"/>
      <c r="E47" s="9"/>
      <c r="G47" s="62"/>
    </row>
    <row r="48" ht="16.5" customHeight="1">
      <c r="U48" s="5" t="s">
        <v>113</v>
      </c>
    </row>
    <row r="49" ht="16.5" customHeight="1">
      <c r="U49" s="5" t="s">
        <v>114</v>
      </c>
    </row>
    <row r="50" ht="16.5" customHeight="1">
      <c r="I50" s="23"/>
      <c r="J50" s="66"/>
      <c r="K50" s="66"/>
      <c r="U50" s="5" t="s">
        <v>115</v>
      </c>
    </row>
    <row r="51" ht="16.5" customHeight="1">
      <c r="F51" s="68" t="s">
        <v>117</v>
      </c>
      <c r="G51" s="69"/>
      <c r="H51" s="69"/>
      <c r="I51" s="69"/>
      <c r="J51" s="69"/>
      <c r="U51" s="5" t="s">
        <v>119</v>
      </c>
    </row>
    <row r="52" ht="16.5" customHeight="1">
      <c r="U52" s="5" t="s">
        <v>120</v>
      </c>
    </row>
    <row r="53" ht="16.5" customHeight="1">
      <c r="A53" s="70"/>
      <c r="B53" s="70"/>
      <c r="U53" s="5" t="s">
        <v>121</v>
      </c>
    </row>
    <row r="54" ht="16.5" customHeight="1">
      <c r="A54" s="70"/>
      <c r="B54" s="70"/>
      <c r="U54" s="5" t="s">
        <v>122</v>
      </c>
    </row>
    <row r="55" ht="16.5" customHeight="1">
      <c r="A55" s="26"/>
      <c r="B55" s="26"/>
      <c r="U55" s="5" t="s">
        <v>123</v>
      </c>
    </row>
    <row r="56" ht="16.5" customHeight="1">
      <c r="A56" s="71"/>
      <c r="B56" s="71"/>
    </row>
    <row r="57" ht="16.5" customHeight="1"/>
    <row r="58" ht="16.5" customHeight="1"/>
    <row r="59" ht="16.5" customHeight="1"/>
    <row r="60" ht="16.5" customHeight="1"/>
    <row r="61" ht="16.5" customHeight="1">
      <c r="C61" s="8"/>
      <c r="D61" s="72" t="s">
        <v>124</v>
      </c>
      <c r="E61" s="73"/>
      <c r="F61" s="73"/>
      <c r="G61" s="73"/>
      <c r="H61" s="8"/>
      <c r="I61" s="8"/>
      <c r="J61" s="8"/>
      <c r="K61" s="74"/>
    </row>
    <row r="62" ht="16.5" customHeight="1">
      <c r="C62" s="8"/>
      <c r="D62" s="8" t="s">
        <v>126</v>
      </c>
      <c r="K62" s="75">
        <v>35000.0</v>
      </c>
    </row>
    <row r="63" ht="16.5" customHeight="1">
      <c r="C63" s="8"/>
      <c r="D63" s="8" t="s">
        <v>127</v>
      </c>
      <c r="K63" s="75">
        <v>40000.0</v>
      </c>
    </row>
    <row r="64" ht="16.5" customHeight="1">
      <c r="C64" s="8"/>
      <c r="D64" s="8" t="s">
        <v>128</v>
      </c>
      <c r="E64" s="8"/>
      <c r="F64" s="8"/>
      <c r="G64" s="8"/>
      <c r="H64" s="8"/>
      <c r="I64" s="8"/>
      <c r="J64" s="8"/>
      <c r="K64" s="75">
        <v>65000.0</v>
      </c>
    </row>
    <row r="65" ht="16.5" customHeight="1">
      <c r="C65" s="8"/>
      <c r="D65" s="8" t="s">
        <v>129</v>
      </c>
      <c r="E65" s="8"/>
      <c r="F65" s="8"/>
      <c r="G65" s="8"/>
      <c r="H65" s="8"/>
      <c r="I65" s="8"/>
      <c r="J65" s="8"/>
      <c r="K65" s="75">
        <v>65000.0</v>
      </c>
    </row>
    <row r="66" ht="16.5" customHeight="1">
      <c r="C66" s="8"/>
      <c r="D66" s="8" t="s">
        <v>130</v>
      </c>
      <c r="E66" s="8"/>
      <c r="F66" s="8"/>
      <c r="G66" s="8"/>
      <c r="H66" s="8"/>
      <c r="I66" s="8"/>
      <c r="J66" s="8"/>
      <c r="K66" s="75">
        <v>35000.0</v>
      </c>
    </row>
    <row r="67" ht="16.5" customHeight="1">
      <c r="C67" s="8"/>
      <c r="D67" s="8" t="s">
        <v>131</v>
      </c>
      <c r="E67" s="8"/>
      <c r="F67" s="8"/>
      <c r="G67" s="8"/>
      <c r="H67" s="8"/>
      <c r="I67" s="8"/>
      <c r="J67" s="8"/>
      <c r="K67" s="75">
        <v>37000.0</v>
      </c>
    </row>
    <row r="68" ht="16.5" customHeight="1">
      <c r="C68" s="8"/>
      <c r="D68" s="8" t="s">
        <v>133</v>
      </c>
      <c r="E68" s="8"/>
      <c r="F68" s="8"/>
      <c r="G68" s="8"/>
      <c r="H68" s="8"/>
      <c r="I68" s="8"/>
      <c r="J68" s="8"/>
      <c r="K68" s="75">
        <v>32000.0</v>
      </c>
    </row>
    <row r="69" ht="16.5" customHeight="1">
      <c r="C69" s="8"/>
      <c r="D69" s="8" t="s">
        <v>134</v>
      </c>
      <c r="H69" s="8"/>
      <c r="I69" s="8"/>
      <c r="J69" s="8"/>
      <c r="K69" s="75">
        <v>55000.0</v>
      </c>
    </row>
    <row r="70" ht="16.5" customHeight="1">
      <c r="C70" s="8"/>
      <c r="D70" s="8" t="s">
        <v>135</v>
      </c>
      <c r="E70" s="8"/>
      <c r="F70" s="8"/>
      <c r="G70" s="8"/>
      <c r="H70" s="8"/>
      <c r="I70" s="8"/>
      <c r="J70" s="8"/>
      <c r="K70" s="75">
        <v>60000.0</v>
      </c>
    </row>
    <row r="71" ht="16.5" customHeight="1">
      <c r="C71" s="8"/>
      <c r="D71" s="8" t="s">
        <v>136</v>
      </c>
      <c r="E71" s="8"/>
      <c r="F71" s="8"/>
      <c r="G71" s="8"/>
      <c r="H71" s="8"/>
      <c r="I71" s="8"/>
      <c r="J71" s="8"/>
      <c r="K71" s="75">
        <v>40000.0</v>
      </c>
    </row>
    <row r="72" ht="16.5" customHeight="1">
      <c r="C72" s="8"/>
      <c r="D72" s="8" t="s">
        <v>137</v>
      </c>
      <c r="E72" s="8"/>
      <c r="F72" s="8"/>
      <c r="G72" s="8"/>
      <c r="H72" s="8"/>
      <c r="I72" s="8"/>
      <c r="J72" s="8"/>
      <c r="K72" s="75">
        <v>27000.0</v>
      </c>
    </row>
    <row r="73" ht="16.5" customHeight="1">
      <c r="C73" s="8"/>
      <c r="D73" s="8" t="s">
        <v>138</v>
      </c>
      <c r="E73" s="8"/>
      <c r="F73" s="8"/>
      <c r="G73" s="8"/>
      <c r="H73" s="8"/>
      <c r="I73" s="8"/>
      <c r="J73" s="8"/>
      <c r="K73" s="75">
        <v>32000.0</v>
      </c>
    </row>
    <row r="74" ht="16.5" customHeight="1">
      <c r="C74" s="8"/>
      <c r="D74" s="8" t="s">
        <v>139</v>
      </c>
      <c r="E74" s="8"/>
      <c r="F74" s="8"/>
      <c r="G74" s="8"/>
      <c r="H74" s="8"/>
      <c r="I74" s="8"/>
      <c r="J74" s="8"/>
      <c r="K74" s="75">
        <v>27000.0</v>
      </c>
    </row>
    <row r="75" ht="16.5" customHeight="1">
      <c r="C75" s="8"/>
      <c r="D75" s="8" t="s">
        <v>140</v>
      </c>
      <c r="E75" s="8"/>
      <c r="F75" s="8"/>
      <c r="G75" s="8"/>
      <c r="H75" s="8"/>
      <c r="I75" s="8"/>
      <c r="J75" s="8"/>
      <c r="K75" s="75">
        <v>110000.0</v>
      </c>
    </row>
    <row r="76" ht="16.5" customHeight="1">
      <c r="C76" s="8"/>
      <c r="D76" s="8" t="s">
        <v>142</v>
      </c>
      <c r="E76" s="8"/>
      <c r="F76" s="8"/>
      <c r="G76" s="8"/>
      <c r="H76" s="8"/>
      <c r="I76" s="8"/>
      <c r="J76" s="8"/>
      <c r="K76" s="75">
        <v>30000.0</v>
      </c>
    </row>
    <row r="77" ht="16.5" customHeight="1">
      <c r="C77" s="8"/>
      <c r="D77" s="8" t="s">
        <v>143</v>
      </c>
      <c r="E77" s="8"/>
      <c r="F77" s="8"/>
      <c r="G77" s="8"/>
      <c r="H77" s="8"/>
      <c r="I77" s="8"/>
      <c r="J77" s="8"/>
      <c r="K77" s="75">
        <v>27000.0</v>
      </c>
    </row>
    <row r="78" ht="16.5" customHeight="1">
      <c r="C78" s="8"/>
      <c r="D78" s="8" t="s">
        <v>144</v>
      </c>
      <c r="E78" s="8"/>
      <c r="F78" s="8"/>
      <c r="G78" s="8"/>
      <c r="H78" s="8"/>
      <c r="I78" s="8"/>
      <c r="J78" s="8"/>
      <c r="K78" s="75">
        <v>33000.0</v>
      </c>
    </row>
    <row r="79" ht="16.5" customHeight="1">
      <c r="C79" s="8"/>
      <c r="D79" s="8" t="s">
        <v>145</v>
      </c>
      <c r="E79" s="8"/>
      <c r="F79" s="8"/>
      <c r="G79" s="8"/>
      <c r="H79" s="8"/>
      <c r="I79" s="8"/>
      <c r="J79" s="8"/>
      <c r="K79" s="75">
        <v>35000.0</v>
      </c>
    </row>
    <row r="80" ht="16.5" customHeight="1">
      <c r="C80" s="8"/>
      <c r="D80" s="8" t="s">
        <v>146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147</v>
      </c>
      <c r="E81" s="8"/>
      <c r="F81" s="8"/>
      <c r="G81" s="8"/>
      <c r="H81" s="8"/>
      <c r="I81" s="8"/>
      <c r="J81" s="8"/>
      <c r="K81" s="75">
        <v>33000.0</v>
      </c>
    </row>
    <row r="82" ht="16.5" customHeight="1">
      <c r="C82" s="8"/>
      <c r="D82" s="8" t="s">
        <v>148</v>
      </c>
      <c r="E82" s="8"/>
      <c r="F82" s="8"/>
      <c r="G82" s="8"/>
      <c r="H82" s="8"/>
      <c r="I82" s="8"/>
      <c r="J82" s="8"/>
      <c r="K82" s="75">
        <v>35000.0</v>
      </c>
    </row>
    <row r="83" ht="16.5" customHeight="1">
      <c r="C83" s="8"/>
      <c r="D83" s="8" t="s">
        <v>149</v>
      </c>
      <c r="E83" s="8"/>
      <c r="F83" s="8"/>
      <c r="G83" s="8"/>
      <c r="H83" s="8"/>
      <c r="I83" s="8"/>
      <c r="J83" s="8"/>
      <c r="K83" s="75">
        <v>33000.0</v>
      </c>
    </row>
    <row r="84" ht="16.5" customHeight="1">
      <c r="C84" s="8"/>
      <c r="D84" s="8" t="s">
        <v>150</v>
      </c>
      <c r="E84" s="8"/>
      <c r="F84" s="8"/>
      <c r="G84" s="8"/>
      <c r="H84" s="8"/>
      <c r="I84" s="8"/>
      <c r="J84" s="8"/>
      <c r="K84" s="75">
        <v>33000.0</v>
      </c>
    </row>
    <row r="85" ht="16.5" customHeight="1">
      <c r="C85" s="8"/>
      <c r="D85" s="8" t="s">
        <v>151</v>
      </c>
      <c r="E85" s="8"/>
      <c r="F85" s="8"/>
      <c r="G85" s="8"/>
      <c r="H85" s="8"/>
      <c r="I85" s="8"/>
      <c r="J85" s="8"/>
      <c r="K85" s="75">
        <v>32000.0</v>
      </c>
    </row>
    <row r="86" ht="16.5" customHeight="1">
      <c r="C86" s="8"/>
      <c r="D86" s="8" t="s">
        <v>153</v>
      </c>
      <c r="E86" s="8"/>
      <c r="F86" s="8"/>
      <c r="G86" s="8"/>
      <c r="H86" s="8"/>
      <c r="I86" s="8"/>
      <c r="J86" s="8"/>
      <c r="K86" s="75">
        <v>33000.0</v>
      </c>
    </row>
    <row r="87" ht="16.5" customHeight="1">
      <c r="C87" s="8"/>
      <c r="D87" s="8" t="s">
        <v>154</v>
      </c>
      <c r="E87" s="8"/>
      <c r="F87" s="8"/>
      <c r="G87" s="8"/>
      <c r="H87" s="8"/>
      <c r="I87" s="8"/>
      <c r="J87" s="8"/>
      <c r="K87" s="75">
        <v>40000.0</v>
      </c>
    </row>
    <row r="88" ht="16.5" customHeight="1">
      <c r="C88" s="8"/>
      <c r="D88" s="8" t="s">
        <v>155</v>
      </c>
      <c r="E88" s="8"/>
      <c r="F88" s="8"/>
      <c r="G88" s="8"/>
      <c r="H88" s="8"/>
      <c r="I88" s="8"/>
      <c r="J88" s="8"/>
      <c r="K88" s="75">
        <v>35000.0</v>
      </c>
    </row>
    <row r="89" ht="16.5" customHeight="1">
      <c r="C89" s="8"/>
      <c r="D89" s="8" t="s">
        <v>156</v>
      </c>
      <c r="E89" s="8"/>
      <c r="F89" s="8"/>
      <c r="G89" s="8"/>
      <c r="H89" s="8"/>
      <c r="I89" s="8"/>
      <c r="J89" s="8"/>
      <c r="K89" s="74"/>
    </row>
    <row r="90" ht="16.5" customHeight="1">
      <c r="C90" s="8"/>
      <c r="D90" s="8" t="s">
        <v>157</v>
      </c>
      <c r="E90" s="8"/>
      <c r="F90" s="8"/>
      <c r="G90" s="8"/>
      <c r="H90" s="8"/>
      <c r="I90" s="8"/>
      <c r="J90" s="8"/>
      <c r="K90" s="74"/>
    </row>
    <row r="91" ht="16.5" customHeight="1">
      <c r="C91" s="8"/>
      <c r="D91" s="8" t="s">
        <v>158</v>
      </c>
      <c r="E91" s="8"/>
      <c r="F91" s="8"/>
      <c r="G91" s="8"/>
      <c r="H91" s="8"/>
      <c r="I91" s="8"/>
      <c r="J91" s="8"/>
      <c r="K91" s="74"/>
    </row>
    <row r="92" ht="16.5" customHeight="1">
      <c r="C92" s="8"/>
      <c r="D92" s="8" t="s">
        <v>159</v>
      </c>
      <c r="E92" s="8"/>
      <c r="F92" s="8"/>
      <c r="G92" s="8"/>
      <c r="H92" s="8"/>
      <c r="I92" s="8"/>
      <c r="J92" s="8"/>
      <c r="K92" s="75">
        <v>35000.0</v>
      </c>
    </row>
    <row r="93" ht="16.5" customHeight="1">
      <c r="C93" s="8"/>
      <c r="D93" s="8" t="s">
        <v>160</v>
      </c>
      <c r="E93" s="8"/>
      <c r="F93" s="8"/>
      <c r="G93" s="8"/>
      <c r="H93" s="8"/>
      <c r="I93" s="8"/>
      <c r="J93" s="8"/>
      <c r="K93" s="75">
        <v>30000.0</v>
      </c>
    </row>
    <row r="94" ht="16.5" customHeight="1">
      <c r="C94" s="8"/>
      <c r="D94" s="8" t="s">
        <v>161</v>
      </c>
      <c r="E94" s="8"/>
      <c r="F94" s="8"/>
      <c r="G94" s="8"/>
      <c r="H94" s="8"/>
      <c r="I94" s="8"/>
      <c r="J94" s="8"/>
      <c r="K94" s="75">
        <v>65000.0</v>
      </c>
    </row>
    <row r="95" ht="16.5" customHeight="1">
      <c r="C95" s="8"/>
      <c r="D95" s="8" t="s">
        <v>163</v>
      </c>
      <c r="E95" s="8"/>
      <c r="F95" s="8"/>
      <c r="G95" s="8"/>
      <c r="H95" s="8"/>
      <c r="I95" s="8"/>
      <c r="J95" s="8"/>
      <c r="K95" s="75">
        <v>33000.0</v>
      </c>
    </row>
    <row r="96" ht="16.5" customHeight="1">
      <c r="C96" s="8"/>
      <c r="D96" s="8" t="s">
        <v>164</v>
      </c>
      <c r="E96" s="8"/>
      <c r="F96" s="8"/>
      <c r="G96" s="8"/>
      <c r="H96" s="8"/>
      <c r="I96" s="8"/>
      <c r="J96" s="8"/>
      <c r="K96" s="75">
        <v>40000.0</v>
      </c>
    </row>
    <row r="97" ht="16.5" customHeight="1">
      <c r="C97" s="8"/>
      <c r="D97" s="8" t="s">
        <v>165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166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167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168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169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170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171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173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174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175</v>
      </c>
      <c r="E106" s="8"/>
      <c r="F106" s="8"/>
      <c r="G106" s="8"/>
      <c r="H106" s="8"/>
      <c r="I106" s="8"/>
      <c r="J106" s="8"/>
      <c r="K106" s="74"/>
    </row>
    <row r="107" ht="16.5" customHeight="1">
      <c r="C107" s="8"/>
      <c r="D107" s="8" t="s">
        <v>176</v>
      </c>
      <c r="E107" s="8"/>
      <c r="F107" s="8"/>
      <c r="G107" s="8"/>
      <c r="H107" s="8"/>
      <c r="I107" s="8"/>
      <c r="J107" s="8"/>
      <c r="K107" s="74"/>
    </row>
    <row r="108" ht="16.5" customHeight="1">
      <c r="C108" s="8"/>
      <c r="D108" s="8" t="s">
        <v>177</v>
      </c>
      <c r="E108" s="8"/>
      <c r="F108" s="8"/>
      <c r="G108" s="8"/>
      <c r="H108" s="8"/>
      <c r="I108" s="8"/>
      <c r="J108" s="8"/>
      <c r="K108" s="74"/>
    </row>
    <row r="109" ht="16.5" customHeight="1">
      <c r="C109" s="8"/>
      <c r="D109" s="8" t="s">
        <v>178</v>
      </c>
      <c r="E109" s="8"/>
      <c r="F109" s="8"/>
      <c r="G109" s="8"/>
      <c r="H109" s="8"/>
      <c r="I109" s="8"/>
      <c r="J109" s="8"/>
      <c r="K109" s="74"/>
    </row>
    <row r="110" ht="16.5" customHeight="1">
      <c r="C110" s="8"/>
      <c r="D110" s="8" t="s">
        <v>179</v>
      </c>
      <c r="E110" s="8"/>
      <c r="F110" s="8"/>
      <c r="G110" s="8"/>
      <c r="H110" s="8"/>
      <c r="I110" s="8"/>
      <c r="J110" s="8"/>
      <c r="K110" s="74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C22:F22"/>
    <mergeCell ref="C23:F23"/>
    <mergeCell ref="G23:H23"/>
    <mergeCell ref="C24:F24"/>
    <mergeCell ref="G24:H24"/>
    <mergeCell ref="C25:F25"/>
    <mergeCell ref="G25:H25"/>
    <mergeCell ref="C26:F26"/>
    <mergeCell ref="G26:H26"/>
    <mergeCell ref="C27:F27"/>
    <mergeCell ref="G27:H27"/>
    <mergeCell ref="C28:F28"/>
    <mergeCell ref="G28:H28"/>
    <mergeCell ref="G29:H29"/>
    <mergeCell ref="C33:F33"/>
    <mergeCell ref="G33:H33"/>
    <mergeCell ref="C34:F34"/>
    <mergeCell ref="G34:H34"/>
    <mergeCell ref="D62:J62"/>
    <mergeCell ref="D63:J63"/>
    <mergeCell ref="D69:G69"/>
    <mergeCell ref="C29:F29"/>
    <mergeCell ref="C30:F30"/>
    <mergeCell ref="G30:H30"/>
    <mergeCell ref="C31:F31"/>
    <mergeCell ref="G31:H31"/>
    <mergeCell ref="C32:F32"/>
    <mergeCell ref="G32:H32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11" t="s">
        <v>182</v>
      </c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184</v>
      </c>
      <c r="L12" s="23"/>
      <c r="M12" s="24"/>
      <c r="O12" s="21"/>
      <c r="P12" s="5"/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O13" s="27" t="s">
        <v>25</v>
      </c>
      <c r="P13" s="9"/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O14" s="21" t="s">
        <v>30</v>
      </c>
      <c r="P14" s="9"/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O15" s="21" t="s">
        <v>36</v>
      </c>
      <c r="P15" s="9"/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O16" s="21" t="s">
        <v>41</v>
      </c>
      <c r="P16" s="9"/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O17" s="21" t="s">
        <v>46</v>
      </c>
      <c r="P17" s="9"/>
      <c r="T17" s="25" t="s">
        <v>47</v>
      </c>
    </row>
    <row r="18" ht="16.5" customHeight="1">
      <c r="A18" s="22"/>
      <c r="B18" s="22"/>
      <c r="C18" s="12"/>
      <c r="D18" s="5"/>
      <c r="E18" s="9"/>
      <c r="O18" s="21" t="s">
        <v>49</v>
      </c>
      <c r="P18" s="5"/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7" t="s">
        <v>52</v>
      </c>
      <c r="P19" s="5"/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O20" s="27" t="s">
        <v>61</v>
      </c>
      <c r="P20" s="5"/>
      <c r="T20" s="25" t="s">
        <v>62</v>
      </c>
    </row>
    <row r="21" ht="16.5" customHeight="1">
      <c r="A21" s="38"/>
      <c r="B21" s="39">
        <v>1.0</v>
      </c>
      <c r="C21" s="5" t="s">
        <v>186</v>
      </c>
      <c r="D21" s="40"/>
      <c r="E21" s="40"/>
      <c r="F21" s="41"/>
      <c r="G21" s="42">
        <v>30.0</v>
      </c>
      <c r="H21" s="30"/>
      <c r="I21" s="43">
        <v>48.0</v>
      </c>
      <c r="J21" s="47">
        <f t="shared" ref="J21:J27" si="1">G21*I21</f>
        <v>1440</v>
      </c>
      <c r="O21" s="5" t="s">
        <v>68</v>
      </c>
      <c r="P21" s="5"/>
      <c r="T21" s="48" t="s">
        <v>69</v>
      </c>
    </row>
    <row r="22" ht="16.5" customHeight="1">
      <c r="A22" s="38"/>
      <c r="B22" s="39">
        <v>2.0</v>
      </c>
      <c r="C22" s="28" t="s">
        <v>187</v>
      </c>
      <c r="D22" s="29"/>
      <c r="E22" s="29"/>
      <c r="F22" s="30"/>
      <c r="G22" s="42">
        <v>15.0</v>
      </c>
      <c r="H22" s="30"/>
      <c r="I22" s="49">
        <v>45.0</v>
      </c>
      <c r="J22" s="47">
        <f t="shared" si="1"/>
        <v>675</v>
      </c>
      <c r="T22" s="48"/>
    </row>
    <row r="23" ht="16.5" customHeight="1">
      <c r="A23" s="38"/>
      <c r="B23" s="39">
        <v>3.0</v>
      </c>
      <c r="C23" s="28" t="s">
        <v>188</v>
      </c>
      <c r="D23" s="29"/>
      <c r="E23" s="29"/>
      <c r="F23" s="30"/>
      <c r="G23" s="42">
        <v>15.0</v>
      </c>
      <c r="H23" s="30"/>
      <c r="I23" s="49">
        <v>30.0</v>
      </c>
      <c r="J23" s="47">
        <f t="shared" si="1"/>
        <v>450</v>
      </c>
      <c r="T23" s="48"/>
    </row>
    <row r="24" ht="16.5" customHeight="1">
      <c r="A24" s="38"/>
      <c r="B24" s="39">
        <v>4.0</v>
      </c>
      <c r="C24" s="48" t="s">
        <v>189</v>
      </c>
      <c r="D24" s="48"/>
      <c r="E24" s="48"/>
      <c r="F24" s="48"/>
      <c r="G24" s="42">
        <v>25.0</v>
      </c>
      <c r="H24" s="30"/>
      <c r="I24" s="50">
        <v>40.0</v>
      </c>
      <c r="J24" s="47">
        <f t="shared" si="1"/>
        <v>1000</v>
      </c>
    </row>
    <row r="25" ht="16.5" customHeight="1">
      <c r="A25" s="38"/>
      <c r="B25" s="39">
        <v>5.0</v>
      </c>
      <c r="C25" s="48" t="s">
        <v>190</v>
      </c>
      <c r="D25" s="48"/>
      <c r="E25" s="48"/>
      <c r="F25" s="48"/>
      <c r="G25" s="42">
        <v>25.0</v>
      </c>
      <c r="H25" s="30"/>
      <c r="I25" s="50">
        <v>40.0</v>
      </c>
      <c r="J25" s="47">
        <f t="shared" si="1"/>
        <v>1000</v>
      </c>
    </row>
    <row r="26" ht="16.5" customHeight="1">
      <c r="A26" s="38"/>
      <c r="B26" s="39">
        <v>6.0</v>
      </c>
      <c r="C26" s="48" t="s">
        <v>192</v>
      </c>
      <c r="D26" s="48"/>
      <c r="E26" s="48"/>
      <c r="F26" s="48"/>
      <c r="G26" s="42">
        <v>10.0</v>
      </c>
      <c r="H26" s="30"/>
      <c r="I26" s="50">
        <v>39.0</v>
      </c>
      <c r="J26" s="47">
        <f t="shared" si="1"/>
        <v>390</v>
      </c>
    </row>
    <row r="27" ht="16.5" customHeight="1">
      <c r="A27" s="38"/>
      <c r="B27" s="39">
        <v>7.0</v>
      </c>
      <c r="C27" s="51" t="s">
        <v>90</v>
      </c>
      <c r="D27" s="29"/>
      <c r="E27" s="29"/>
      <c r="F27" s="30"/>
      <c r="G27" s="42">
        <f>G28/30</f>
        <v>4</v>
      </c>
      <c r="H27" s="30"/>
      <c r="I27" s="50">
        <v>120.0</v>
      </c>
      <c r="J27" s="47">
        <f t="shared" si="1"/>
        <v>480</v>
      </c>
    </row>
    <row r="28" ht="16.5" customHeight="1">
      <c r="A28" s="10"/>
      <c r="B28" s="52" t="s">
        <v>93</v>
      </c>
      <c r="C28" s="53"/>
      <c r="D28" s="53"/>
      <c r="E28" s="53"/>
      <c r="F28" s="53"/>
      <c r="G28" s="53">
        <f>SUM(G21:G26)</f>
        <v>120</v>
      </c>
      <c r="H28" s="53"/>
      <c r="I28" s="54" t="s">
        <v>98</v>
      </c>
      <c r="J28" s="55">
        <f>SUM(J21:J27)</f>
        <v>5435</v>
      </c>
    </row>
    <row r="29" ht="28.5" customHeight="1">
      <c r="A29" s="56"/>
      <c r="B29" s="56" t="s">
        <v>102</v>
      </c>
      <c r="C29" s="9"/>
      <c r="D29" s="9"/>
      <c r="E29" s="9"/>
      <c r="F29" s="9"/>
      <c r="G29" s="9"/>
      <c r="H29" s="9"/>
      <c r="I29" s="9"/>
    </row>
    <row r="30" ht="16.5" customHeight="1">
      <c r="A30" s="9"/>
      <c r="B30" s="9"/>
      <c r="F30" s="9"/>
    </row>
    <row r="31" ht="16.5" customHeight="1">
      <c r="A31" s="58"/>
      <c r="B31" s="58" t="s">
        <v>104</v>
      </c>
      <c r="C31" s="9"/>
      <c r="D31" s="9"/>
      <c r="F31" s="9"/>
    </row>
    <row r="32" ht="7.5" customHeight="1">
      <c r="M32" s="10"/>
      <c r="N32" s="10"/>
      <c r="O32" s="9"/>
      <c r="Q32" s="9"/>
    </row>
    <row r="33" ht="16.5" customHeight="1">
      <c r="A33" s="10"/>
      <c r="B33" s="61" t="s">
        <v>105</v>
      </c>
      <c r="C33" s="62"/>
      <c r="D33" s="5" t="s">
        <v>15</v>
      </c>
      <c r="E33" s="9" t="s">
        <v>107</v>
      </c>
      <c r="G33" s="62"/>
      <c r="L33" s="63"/>
      <c r="M33" s="10"/>
      <c r="N33" s="10"/>
      <c r="O33" s="9"/>
      <c r="Q33" s="9"/>
    </row>
    <row r="34" ht="16.5" customHeight="1">
      <c r="A34" s="10"/>
      <c r="B34" s="61" t="s">
        <v>108</v>
      </c>
      <c r="D34" s="5" t="s">
        <v>15</v>
      </c>
      <c r="E34" s="9" t="s">
        <v>107</v>
      </c>
      <c r="M34" s="10"/>
      <c r="N34" s="10"/>
      <c r="O34" s="9"/>
    </row>
    <row r="35" ht="16.5" customHeight="1">
      <c r="E35" s="9" t="s">
        <v>109</v>
      </c>
      <c r="M35" s="10"/>
      <c r="N35" s="10"/>
      <c r="O35" s="9"/>
    </row>
    <row r="36" ht="16.5" customHeight="1">
      <c r="M36" s="10"/>
      <c r="N36" s="62"/>
      <c r="R36" s="62"/>
    </row>
    <row r="37" ht="16.5" customHeight="1">
      <c r="A37" s="62"/>
      <c r="B37" s="62"/>
      <c r="C37" s="62"/>
    </row>
    <row r="38" ht="16.5" customHeight="1"/>
    <row r="39" ht="16.5" customHeight="1">
      <c r="A39" s="9"/>
      <c r="B39" s="9"/>
      <c r="E39" s="9"/>
      <c r="G39" s="62"/>
    </row>
    <row r="40" ht="16.5" customHeight="1">
      <c r="A40" s="9"/>
      <c r="B40" s="9"/>
      <c r="E40" s="9"/>
      <c r="G40" s="62"/>
    </row>
    <row r="41" ht="16.5" customHeight="1"/>
    <row r="42" ht="16.5" customHeight="1"/>
    <row r="43" ht="16.5" customHeight="1">
      <c r="I43" s="23"/>
      <c r="J43" s="66"/>
      <c r="K43" s="66"/>
    </row>
    <row r="44" ht="16.5" customHeight="1">
      <c r="F44" s="68" t="s">
        <v>117</v>
      </c>
      <c r="G44" s="69"/>
      <c r="H44" s="69"/>
      <c r="I44" s="69"/>
      <c r="J44" s="69"/>
    </row>
    <row r="45" ht="16.5" customHeight="1"/>
    <row r="46" ht="16.5" customHeight="1">
      <c r="A46" s="70"/>
      <c r="B46" s="70"/>
    </row>
    <row r="47" ht="16.5" customHeight="1">
      <c r="A47" s="70"/>
      <c r="B47" s="70"/>
    </row>
    <row r="48" ht="16.5" customHeight="1">
      <c r="A48" s="26"/>
      <c r="B48" s="26"/>
    </row>
    <row r="49" ht="16.5" customHeight="1">
      <c r="A49" s="71"/>
      <c r="B49" s="71"/>
    </row>
    <row r="50" ht="16.5" customHeight="1"/>
    <row r="51" ht="16.5" customHeight="1"/>
    <row r="52" ht="16.5" customHeight="1"/>
    <row r="53" ht="16.5" customHeight="1"/>
    <row r="54" ht="16.5" customHeight="1">
      <c r="C54" s="8"/>
      <c r="D54" s="72" t="s">
        <v>124</v>
      </c>
      <c r="E54" s="73"/>
      <c r="F54" s="73"/>
      <c r="G54" s="73"/>
      <c r="H54" s="8"/>
      <c r="I54" s="8"/>
      <c r="J54" s="8"/>
      <c r="K54" s="74"/>
    </row>
    <row r="55" ht="16.5" customHeight="1">
      <c r="C55" s="8"/>
      <c r="D55" s="8" t="s">
        <v>126</v>
      </c>
      <c r="K55" s="75">
        <v>35000.0</v>
      </c>
    </row>
    <row r="56" ht="16.5" customHeight="1">
      <c r="C56" s="8"/>
      <c r="D56" s="8" t="s">
        <v>127</v>
      </c>
      <c r="K56" s="75">
        <v>40000.0</v>
      </c>
    </row>
    <row r="57" ht="16.5" customHeight="1">
      <c r="C57" s="8"/>
      <c r="D57" s="8" t="s">
        <v>128</v>
      </c>
      <c r="E57" s="8"/>
      <c r="F57" s="8"/>
      <c r="G57" s="8"/>
      <c r="H57" s="8"/>
      <c r="I57" s="8"/>
      <c r="J57" s="8"/>
      <c r="K57" s="75">
        <v>65000.0</v>
      </c>
    </row>
    <row r="58" ht="16.5" customHeight="1">
      <c r="C58" s="8"/>
      <c r="D58" s="8" t="s">
        <v>129</v>
      </c>
      <c r="E58" s="8"/>
      <c r="F58" s="8"/>
      <c r="G58" s="8"/>
      <c r="H58" s="8"/>
      <c r="I58" s="8"/>
      <c r="J58" s="8"/>
      <c r="K58" s="75">
        <v>65000.0</v>
      </c>
    </row>
    <row r="59" ht="16.5" customHeight="1">
      <c r="C59" s="8"/>
      <c r="D59" s="8" t="s">
        <v>130</v>
      </c>
      <c r="E59" s="8"/>
      <c r="F59" s="8"/>
      <c r="G59" s="8"/>
      <c r="H59" s="8"/>
      <c r="I59" s="8"/>
      <c r="J59" s="8"/>
      <c r="K59" s="75">
        <v>35000.0</v>
      </c>
    </row>
    <row r="60" ht="16.5" customHeight="1">
      <c r="C60" s="8"/>
      <c r="D60" s="8" t="s">
        <v>131</v>
      </c>
      <c r="E60" s="8"/>
      <c r="F60" s="8"/>
      <c r="G60" s="8"/>
      <c r="H60" s="8"/>
      <c r="I60" s="8"/>
      <c r="J60" s="8"/>
      <c r="K60" s="75">
        <v>37000.0</v>
      </c>
    </row>
    <row r="61" ht="16.5" customHeight="1">
      <c r="C61" s="8"/>
      <c r="D61" s="8" t="s">
        <v>133</v>
      </c>
      <c r="E61" s="8"/>
      <c r="F61" s="8"/>
      <c r="G61" s="8"/>
      <c r="H61" s="8"/>
      <c r="I61" s="8"/>
      <c r="J61" s="8"/>
      <c r="K61" s="75">
        <v>32000.0</v>
      </c>
    </row>
    <row r="62" ht="16.5" customHeight="1">
      <c r="C62" s="8"/>
      <c r="D62" s="8" t="s">
        <v>134</v>
      </c>
      <c r="H62" s="8"/>
      <c r="I62" s="8"/>
      <c r="J62" s="8"/>
      <c r="K62" s="75">
        <v>55000.0</v>
      </c>
    </row>
    <row r="63" ht="16.5" customHeight="1">
      <c r="C63" s="8"/>
      <c r="D63" s="8" t="s">
        <v>135</v>
      </c>
      <c r="E63" s="8"/>
      <c r="F63" s="8"/>
      <c r="G63" s="8"/>
      <c r="H63" s="8"/>
      <c r="I63" s="8"/>
      <c r="J63" s="8"/>
      <c r="K63" s="75">
        <v>60000.0</v>
      </c>
    </row>
    <row r="64" ht="16.5" customHeight="1">
      <c r="C64" s="8"/>
      <c r="D64" s="8" t="s">
        <v>136</v>
      </c>
      <c r="E64" s="8"/>
      <c r="F64" s="8"/>
      <c r="G64" s="8"/>
      <c r="H64" s="8"/>
      <c r="I64" s="8"/>
      <c r="J64" s="8"/>
      <c r="K64" s="75">
        <v>40000.0</v>
      </c>
    </row>
    <row r="65" ht="16.5" customHeight="1">
      <c r="C65" s="8"/>
      <c r="D65" s="8" t="s">
        <v>137</v>
      </c>
      <c r="E65" s="8"/>
      <c r="F65" s="8"/>
      <c r="G65" s="8"/>
      <c r="H65" s="8"/>
      <c r="I65" s="8"/>
      <c r="J65" s="8"/>
      <c r="K65" s="75">
        <v>27000.0</v>
      </c>
    </row>
    <row r="66" ht="16.5" customHeight="1">
      <c r="C66" s="8"/>
      <c r="D66" s="8" t="s">
        <v>138</v>
      </c>
      <c r="E66" s="8"/>
      <c r="F66" s="8"/>
      <c r="G66" s="8"/>
      <c r="H66" s="8"/>
      <c r="I66" s="8"/>
      <c r="J66" s="8"/>
      <c r="K66" s="75">
        <v>32000.0</v>
      </c>
    </row>
    <row r="67" ht="16.5" customHeight="1">
      <c r="C67" s="8"/>
      <c r="D67" s="8" t="s">
        <v>139</v>
      </c>
      <c r="E67" s="8"/>
      <c r="F67" s="8"/>
      <c r="G67" s="8"/>
      <c r="H67" s="8"/>
      <c r="I67" s="8"/>
      <c r="J67" s="8"/>
      <c r="K67" s="75">
        <v>27000.0</v>
      </c>
    </row>
    <row r="68" ht="16.5" customHeight="1">
      <c r="C68" s="8"/>
      <c r="D68" s="8" t="s">
        <v>140</v>
      </c>
      <c r="E68" s="8"/>
      <c r="F68" s="8"/>
      <c r="G68" s="8"/>
      <c r="H68" s="8"/>
      <c r="I68" s="8"/>
      <c r="J68" s="8"/>
      <c r="K68" s="75">
        <v>110000.0</v>
      </c>
    </row>
    <row r="69" ht="16.5" customHeight="1">
      <c r="C69" s="8"/>
      <c r="D69" s="8" t="s">
        <v>142</v>
      </c>
      <c r="E69" s="8"/>
      <c r="F69" s="8"/>
      <c r="G69" s="8"/>
      <c r="H69" s="8"/>
      <c r="I69" s="8"/>
      <c r="J69" s="8"/>
      <c r="K69" s="75">
        <v>30000.0</v>
      </c>
    </row>
    <row r="70" ht="16.5" customHeight="1">
      <c r="C70" s="8"/>
      <c r="D70" s="8" t="s">
        <v>143</v>
      </c>
      <c r="E70" s="8"/>
      <c r="F70" s="8"/>
      <c r="G70" s="8"/>
      <c r="H70" s="8"/>
      <c r="I70" s="8"/>
      <c r="J70" s="8"/>
      <c r="K70" s="75">
        <v>27000.0</v>
      </c>
    </row>
    <row r="71" ht="16.5" customHeight="1">
      <c r="C71" s="8"/>
      <c r="D71" s="8" t="s">
        <v>144</v>
      </c>
      <c r="E71" s="8"/>
      <c r="F71" s="8"/>
      <c r="G71" s="8"/>
      <c r="H71" s="8"/>
      <c r="I71" s="8"/>
      <c r="J71" s="8"/>
      <c r="K71" s="75">
        <v>33000.0</v>
      </c>
    </row>
    <row r="72" ht="16.5" customHeight="1">
      <c r="C72" s="8"/>
      <c r="D72" s="8" t="s">
        <v>145</v>
      </c>
      <c r="E72" s="8"/>
      <c r="F72" s="8"/>
      <c r="G72" s="8"/>
      <c r="H72" s="8"/>
      <c r="I72" s="8"/>
      <c r="J72" s="8"/>
      <c r="K72" s="75">
        <v>35000.0</v>
      </c>
    </row>
    <row r="73" ht="16.5" customHeight="1">
      <c r="C73" s="8"/>
      <c r="D73" s="8" t="s">
        <v>146</v>
      </c>
      <c r="E73" s="8"/>
      <c r="F73" s="8"/>
      <c r="G73" s="8"/>
      <c r="H73" s="8"/>
      <c r="I73" s="8"/>
      <c r="J73" s="8"/>
      <c r="K73" s="75">
        <v>33000.0</v>
      </c>
    </row>
    <row r="74" ht="16.5" customHeight="1">
      <c r="C74" s="8"/>
      <c r="D74" s="8" t="s">
        <v>147</v>
      </c>
      <c r="E74" s="8"/>
      <c r="F74" s="8"/>
      <c r="G74" s="8"/>
      <c r="H74" s="8"/>
      <c r="I74" s="8"/>
      <c r="J74" s="8"/>
      <c r="K74" s="75">
        <v>33000.0</v>
      </c>
    </row>
    <row r="75" ht="16.5" customHeight="1">
      <c r="C75" s="8"/>
      <c r="D75" s="8" t="s">
        <v>148</v>
      </c>
      <c r="E75" s="8"/>
      <c r="F75" s="8"/>
      <c r="G75" s="8"/>
      <c r="H75" s="8"/>
      <c r="I75" s="8"/>
      <c r="J75" s="8"/>
      <c r="K75" s="75">
        <v>35000.0</v>
      </c>
    </row>
    <row r="76" ht="16.5" customHeight="1">
      <c r="C76" s="8"/>
      <c r="D76" s="8" t="s">
        <v>149</v>
      </c>
      <c r="E76" s="8"/>
      <c r="F76" s="8"/>
      <c r="G76" s="8"/>
      <c r="H76" s="8"/>
      <c r="I76" s="8"/>
      <c r="J76" s="8"/>
      <c r="K76" s="75">
        <v>33000.0</v>
      </c>
    </row>
    <row r="77" ht="16.5" customHeight="1">
      <c r="C77" s="8"/>
      <c r="D77" s="8" t="s">
        <v>150</v>
      </c>
      <c r="E77" s="8"/>
      <c r="F77" s="8"/>
      <c r="G77" s="8"/>
      <c r="H77" s="8"/>
      <c r="I77" s="8"/>
      <c r="J77" s="8"/>
      <c r="K77" s="75">
        <v>33000.0</v>
      </c>
    </row>
    <row r="78" ht="16.5" customHeight="1">
      <c r="C78" s="8"/>
      <c r="D78" s="8" t="s">
        <v>151</v>
      </c>
      <c r="E78" s="8"/>
      <c r="F78" s="8"/>
      <c r="G78" s="8"/>
      <c r="H78" s="8"/>
      <c r="I78" s="8"/>
      <c r="J78" s="8"/>
      <c r="K78" s="75">
        <v>32000.0</v>
      </c>
    </row>
    <row r="79" ht="16.5" customHeight="1">
      <c r="C79" s="8"/>
      <c r="D79" s="8" t="s">
        <v>153</v>
      </c>
      <c r="E79" s="8"/>
      <c r="F79" s="8"/>
      <c r="G79" s="8"/>
      <c r="H79" s="8"/>
      <c r="I79" s="8"/>
      <c r="J79" s="8"/>
      <c r="K79" s="75">
        <v>33000.0</v>
      </c>
    </row>
    <row r="80" ht="16.5" customHeight="1">
      <c r="C80" s="8"/>
      <c r="D80" s="8" t="s">
        <v>154</v>
      </c>
      <c r="E80" s="8"/>
      <c r="F80" s="8"/>
      <c r="G80" s="8"/>
      <c r="H80" s="8"/>
      <c r="I80" s="8"/>
      <c r="J80" s="8"/>
      <c r="K80" s="75">
        <v>40000.0</v>
      </c>
    </row>
    <row r="81" ht="16.5" customHeight="1">
      <c r="C81" s="8"/>
      <c r="D81" s="8" t="s">
        <v>155</v>
      </c>
      <c r="E81" s="8"/>
      <c r="F81" s="8"/>
      <c r="G81" s="8"/>
      <c r="H81" s="8"/>
      <c r="I81" s="8"/>
      <c r="J81" s="8"/>
      <c r="K81" s="75">
        <v>35000.0</v>
      </c>
    </row>
    <row r="82" ht="16.5" customHeight="1">
      <c r="C82" s="8"/>
      <c r="D82" s="8" t="s">
        <v>156</v>
      </c>
      <c r="E82" s="8"/>
      <c r="F82" s="8"/>
      <c r="G82" s="8"/>
      <c r="H82" s="8"/>
      <c r="I82" s="8"/>
      <c r="J82" s="8"/>
      <c r="K82" s="74"/>
    </row>
    <row r="83" ht="16.5" customHeight="1">
      <c r="C83" s="8"/>
      <c r="D83" s="8" t="s">
        <v>157</v>
      </c>
      <c r="E83" s="8"/>
      <c r="F83" s="8"/>
      <c r="G83" s="8"/>
      <c r="H83" s="8"/>
      <c r="I83" s="8"/>
      <c r="J83" s="8"/>
      <c r="K83" s="74"/>
    </row>
    <row r="84" ht="16.5" customHeight="1">
      <c r="C84" s="8"/>
      <c r="D84" s="8" t="s">
        <v>158</v>
      </c>
      <c r="E84" s="8"/>
      <c r="F84" s="8"/>
      <c r="G84" s="8"/>
      <c r="H84" s="8"/>
      <c r="I84" s="8"/>
      <c r="J84" s="8"/>
      <c r="K84" s="74"/>
    </row>
    <row r="85" ht="16.5" customHeight="1">
      <c r="C85" s="8"/>
      <c r="D85" s="8" t="s">
        <v>159</v>
      </c>
      <c r="E85" s="8"/>
      <c r="F85" s="8"/>
      <c r="G85" s="8"/>
      <c r="H85" s="8"/>
      <c r="I85" s="8"/>
      <c r="J85" s="8"/>
      <c r="K85" s="75">
        <v>35000.0</v>
      </c>
    </row>
    <row r="86" ht="16.5" customHeight="1">
      <c r="C86" s="8"/>
      <c r="D86" s="8" t="s">
        <v>160</v>
      </c>
      <c r="E86" s="8"/>
      <c r="F86" s="8"/>
      <c r="G86" s="8"/>
      <c r="H86" s="8"/>
      <c r="I86" s="8"/>
      <c r="J86" s="8"/>
      <c r="K86" s="75">
        <v>30000.0</v>
      </c>
    </row>
    <row r="87" ht="16.5" customHeight="1">
      <c r="C87" s="8"/>
      <c r="D87" s="8" t="s">
        <v>161</v>
      </c>
      <c r="E87" s="8"/>
      <c r="F87" s="8"/>
      <c r="G87" s="8"/>
      <c r="H87" s="8"/>
      <c r="I87" s="8"/>
      <c r="J87" s="8"/>
      <c r="K87" s="75">
        <v>65000.0</v>
      </c>
    </row>
    <row r="88" ht="16.5" customHeight="1">
      <c r="C88" s="8"/>
      <c r="D88" s="8" t="s">
        <v>163</v>
      </c>
      <c r="E88" s="8"/>
      <c r="F88" s="8"/>
      <c r="G88" s="8"/>
      <c r="H88" s="8"/>
      <c r="I88" s="8"/>
      <c r="J88" s="8"/>
      <c r="K88" s="75">
        <v>33000.0</v>
      </c>
    </row>
    <row r="89" ht="16.5" customHeight="1">
      <c r="C89" s="8"/>
      <c r="D89" s="8" t="s">
        <v>164</v>
      </c>
      <c r="E89" s="8"/>
      <c r="F89" s="8"/>
      <c r="G89" s="8"/>
      <c r="H89" s="8"/>
      <c r="I89" s="8"/>
      <c r="J89" s="8"/>
      <c r="K89" s="75">
        <v>40000.0</v>
      </c>
    </row>
    <row r="90" ht="16.5" customHeight="1">
      <c r="C90" s="8"/>
      <c r="D90" s="8" t="s">
        <v>165</v>
      </c>
      <c r="E90" s="8"/>
      <c r="F90" s="8"/>
      <c r="G90" s="8"/>
      <c r="H90" s="8"/>
      <c r="I90" s="8"/>
      <c r="J90" s="8"/>
      <c r="K90" s="74"/>
    </row>
    <row r="91" ht="16.5" customHeight="1">
      <c r="C91" s="8"/>
      <c r="D91" s="8" t="s">
        <v>166</v>
      </c>
      <c r="E91" s="8"/>
      <c r="F91" s="8"/>
      <c r="G91" s="8"/>
      <c r="H91" s="8"/>
      <c r="I91" s="8"/>
      <c r="J91" s="8"/>
      <c r="K91" s="74"/>
    </row>
    <row r="92" ht="16.5" customHeight="1">
      <c r="C92" s="8"/>
      <c r="D92" s="8" t="s">
        <v>167</v>
      </c>
      <c r="E92" s="8"/>
      <c r="F92" s="8"/>
      <c r="G92" s="8"/>
      <c r="H92" s="8"/>
      <c r="I92" s="8"/>
      <c r="J92" s="8"/>
      <c r="K92" s="74"/>
    </row>
    <row r="93" ht="16.5" customHeight="1">
      <c r="C93" s="8"/>
      <c r="D93" s="8" t="s">
        <v>168</v>
      </c>
      <c r="E93" s="8"/>
      <c r="F93" s="8"/>
      <c r="G93" s="8"/>
      <c r="H93" s="8"/>
      <c r="I93" s="8"/>
      <c r="J93" s="8"/>
      <c r="K93" s="74"/>
    </row>
    <row r="94" ht="16.5" customHeight="1">
      <c r="C94" s="8"/>
      <c r="D94" s="8" t="s">
        <v>169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170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171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173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174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175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176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177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178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179</v>
      </c>
      <c r="E103" s="8"/>
      <c r="F103" s="8"/>
      <c r="G103" s="8"/>
      <c r="H103" s="8"/>
      <c r="I103" s="8"/>
      <c r="J103" s="8"/>
      <c r="K103" s="74"/>
    </row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G27:H27"/>
    <mergeCell ref="D55:J55"/>
    <mergeCell ref="D56:J56"/>
    <mergeCell ref="D62:G62"/>
    <mergeCell ref="C22:F22"/>
    <mergeCell ref="C23:F23"/>
    <mergeCell ref="G23:H23"/>
    <mergeCell ref="G24:H24"/>
    <mergeCell ref="G25:H25"/>
    <mergeCell ref="G26:H26"/>
    <mergeCell ref="C27:F27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11" t="s">
        <v>183</v>
      </c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185</v>
      </c>
      <c r="L12" s="23"/>
      <c r="M12" s="24"/>
      <c r="O12" s="21"/>
      <c r="P12" s="5"/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O13" s="27" t="s">
        <v>25</v>
      </c>
      <c r="P13" s="9"/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O14" s="21" t="s">
        <v>30</v>
      </c>
      <c r="P14" s="9"/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O15" s="21" t="s">
        <v>36</v>
      </c>
      <c r="P15" s="9"/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O16" s="21" t="s">
        <v>41</v>
      </c>
      <c r="P16" s="9"/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O17" s="21" t="s">
        <v>46</v>
      </c>
      <c r="P17" s="9"/>
      <c r="T17" s="25" t="s">
        <v>47</v>
      </c>
    </row>
    <row r="18" ht="16.5" customHeight="1">
      <c r="A18" s="22"/>
      <c r="B18" s="22"/>
      <c r="C18" s="12"/>
      <c r="D18" s="5"/>
      <c r="E18" s="9"/>
      <c r="O18" s="21" t="s">
        <v>49</v>
      </c>
      <c r="P18" s="5"/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7" t="s">
        <v>52</v>
      </c>
      <c r="P19" s="5"/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O20" s="27" t="s">
        <v>61</v>
      </c>
      <c r="P20" s="5"/>
      <c r="T20" s="25" t="s">
        <v>62</v>
      </c>
    </row>
    <row r="21" ht="16.5" customHeight="1">
      <c r="A21" s="38"/>
      <c r="B21" s="39">
        <v>1.0</v>
      </c>
      <c r="C21" s="5" t="s">
        <v>191</v>
      </c>
      <c r="D21" s="40"/>
      <c r="E21" s="40"/>
      <c r="F21" s="41"/>
      <c r="G21" s="42">
        <v>20.0</v>
      </c>
      <c r="H21" s="30"/>
      <c r="I21" s="43">
        <v>43.0</v>
      </c>
      <c r="J21" s="47">
        <f t="shared" ref="J21:J30" si="1">G21*I21</f>
        <v>860</v>
      </c>
      <c r="O21" s="5" t="s">
        <v>68</v>
      </c>
      <c r="P21" s="5"/>
      <c r="T21" s="48" t="s">
        <v>69</v>
      </c>
    </row>
    <row r="22" ht="16.5" customHeight="1">
      <c r="A22" s="38"/>
      <c r="B22" s="39">
        <v>2.0</v>
      </c>
      <c r="C22" s="28" t="s">
        <v>78</v>
      </c>
      <c r="D22" s="29"/>
      <c r="E22" s="29"/>
      <c r="F22" s="30"/>
      <c r="G22" s="42">
        <v>8.0</v>
      </c>
      <c r="H22" s="30"/>
      <c r="I22" s="49">
        <v>25.0</v>
      </c>
      <c r="J22" s="47">
        <f t="shared" si="1"/>
        <v>200</v>
      </c>
      <c r="T22" s="48"/>
    </row>
    <row r="23" ht="16.5" customHeight="1">
      <c r="A23" s="38"/>
      <c r="B23" s="39">
        <v>3.0</v>
      </c>
      <c r="C23" s="28" t="s">
        <v>76</v>
      </c>
      <c r="D23" s="29"/>
      <c r="E23" s="29"/>
      <c r="F23" s="30"/>
      <c r="G23" s="42">
        <v>8.0</v>
      </c>
      <c r="H23" s="30"/>
      <c r="I23" s="49">
        <v>25.0</v>
      </c>
      <c r="J23" s="47">
        <f t="shared" si="1"/>
        <v>200</v>
      </c>
      <c r="T23" s="48"/>
    </row>
    <row r="24" ht="16.5" customHeight="1">
      <c r="A24" s="38"/>
      <c r="B24" s="39">
        <v>4.0</v>
      </c>
      <c r="C24" s="48" t="s">
        <v>74</v>
      </c>
      <c r="D24" s="48"/>
      <c r="E24" s="48"/>
      <c r="F24" s="48"/>
      <c r="G24" s="42">
        <v>12.0</v>
      </c>
      <c r="H24" s="30"/>
      <c r="I24" s="50">
        <v>39.0</v>
      </c>
      <c r="J24" s="47">
        <f t="shared" si="1"/>
        <v>468</v>
      </c>
    </row>
    <row r="25" ht="16.5" customHeight="1">
      <c r="A25" s="38"/>
      <c r="B25" s="39">
        <v>5.0</v>
      </c>
      <c r="C25" s="48" t="s">
        <v>84</v>
      </c>
      <c r="D25" s="48"/>
      <c r="E25" s="48"/>
      <c r="F25" s="48"/>
      <c r="G25" s="42">
        <v>12.0</v>
      </c>
      <c r="H25" s="30"/>
      <c r="I25" s="50">
        <v>39.0</v>
      </c>
      <c r="J25" s="47">
        <f t="shared" si="1"/>
        <v>468</v>
      </c>
    </row>
    <row r="26" ht="16.5" customHeight="1">
      <c r="A26" s="38"/>
      <c r="B26" s="39">
        <v>6.0</v>
      </c>
      <c r="C26" s="48" t="s">
        <v>193</v>
      </c>
      <c r="D26" s="48"/>
      <c r="E26" s="48"/>
      <c r="F26" s="48"/>
      <c r="G26" s="42">
        <v>5.0</v>
      </c>
      <c r="H26" s="30"/>
      <c r="I26" s="50">
        <v>100.0</v>
      </c>
      <c r="J26" s="47">
        <f t="shared" si="1"/>
        <v>500</v>
      </c>
    </row>
    <row r="27" ht="16.5" customHeight="1">
      <c r="A27" s="38"/>
      <c r="B27" s="39">
        <v>7.0</v>
      </c>
      <c r="C27" s="48" t="s">
        <v>66</v>
      </c>
      <c r="D27" s="48"/>
      <c r="E27" s="48"/>
      <c r="F27" s="48"/>
      <c r="G27" s="42">
        <v>5.0</v>
      </c>
      <c r="H27" s="30"/>
      <c r="I27" s="50">
        <v>27.0</v>
      </c>
      <c r="J27" s="47">
        <f t="shared" si="1"/>
        <v>135</v>
      </c>
    </row>
    <row r="28" ht="16.5" customHeight="1">
      <c r="A28" s="38"/>
      <c r="B28" s="39">
        <v>8.0</v>
      </c>
      <c r="C28" s="48" t="s">
        <v>194</v>
      </c>
      <c r="D28" s="48"/>
      <c r="E28" s="48"/>
      <c r="F28" s="48"/>
      <c r="G28" s="42">
        <v>5.0</v>
      </c>
      <c r="H28" s="30"/>
      <c r="I28" s="50">
        <v>27.0</v>
      </c>
      <c r="J28" s="47">
        <f t="shared" si="1"/>
        <v>135</v>
      </c>
    </row>
    <row r="29" ht="16.5" customHeight="1">
      <c r="A29" s="38"/>
      <c r="B29" s="39">
        <v>9.0</v>
      </c>
      <c r="C29" s="48" t="s">
        <v>195</v>
      </c>
      <c r="D29" s="48"/>
      <c r="E29" s="48"/>
      <c r="F29" s="48"/>
      <c r="G29" s="42">
        <v>15.0</v>
      </c>
      <c r="H29" s="30"/>
      <c r="I29" s="50">
        <v>39.0</v>
      </c>
      <c r="J29" s="47">
        <f t="shared" si="1"/>
        <v>585</v>
      </c>
    </row>
    <row r="30" ht="16.5" customHeight="1">
      <c r="A30" s="38"/>
      <c r="B30" s="39">
        <v>10.0</v>
      </c>
      <c r="C30" s="51" t="s">
        <v>90</v>
      </c>
      <c r="D30" s="29"/>
      <c r="E30" s="29"/>
      <c r="F30" s="30"/>
      <c r="G30" s="42">
        <f>G31/30</f>
        <v>3</v>
      </c>
      <c r="H30" s="30"/>
      <c r="I30" s="50">
        <v>120.0</v>
      </c>
      <c r="J30" s="47">
        <f t="shared" si="1"/>
        <v>360</v>
      </c>
    </row>
    <row r="31" ht="16.5" customHeight="1">
      <c r="A31" s="10"/>
      <c r="B31" s="52" t="s">
        <v>93</v>
      </c>
      <c r="C31" s="53"/>
      <c r="D31" s="53"/>
      <c r="E31" s="53"/>
      <c r="F31" s="53"/>
      <c r="G31" s="53">
        <f>SUM(G21:G29)</f>
        <v>90</v>
      </c>
      <c r="H31" s="53"/>
      <c r="I31" s="54" t="s">
        <v>98</v>
      </c>
      <c r="J31" s="55">
        <f>SUM(J21:J30)</f>
        <v>3911</v>
      </c>
    </row>
    <row r="32" ht="28.5" customHeight="1">
      <c r="A32" s="56"/>
      <c r="B32" s="56" t="s">
        <v>102</v>
      </c>
      <c r="C32" s="9"/>
      <c r="D32" s="9"/>
      <c r="E32" s="9"/>
      <c r="F32" s="9"/>
      <c r="G32" s="9"/>
      <c r="H32" s="9"/>
      <c r="I32" s="9"/>
    </row>
    <row r="33" ht="16.5" customHeight="1">
      <c r="A33" s="9"/>
      <c r="B33" s="9"/>
      <c r="F33" s="9"/>
    </row>
    <row r="34" ht="16.5" customHeight="1">
      <c r="A34" s="58"/>
      <c r="B34" s="58" t="s">
        <v>104</v>
      </c>
      <c r="C34" s="9"/>
      <c r="D34" s="9"/>
      <c r="F34" s="9"/>
    </row>
    <row r="35" ht="7.5" customHeight="1">
      <c r="M35" s="10"/>
      <c r="N35" s="10"/>
      <c r="O35" s="9"/>
      <c r="Q35" s="9"/>
    </row>
    <row r="36" ht="16.5" customHeight="1">
      <c r="A36" s="10"/>
      <c r="B36" s="61" t="s">
        <v>105</v>
      </c>
      <c r="C36" s="62"/>
      <c r="D36" s="5" t="s">
        <v>15</v>
      </c>
      <c r="E36" s="9" t="s">
        <v>107</v>
      </c>
      <c r="G36" s="62"/>
      <c r="L36" s="63"/>
      <c r="M36" s="10"/>
      <c r="N36" s="10"/>
      <c r="O36" s="9"/>
      <c r="Q36" s="9"/>
    </row>
    <row r="37" ht="16.5" customHeight="1">
      <c r="A37" s="10"/>
      <c r="B37" s="61" t="s">
        <v>108</v>
      </c>
      <c r="D37" s="5" t="s">
        <v>15</v>
      </c>
      <c r="E37" s="9" t="s">
        <v>107</v>
      </c>
      <c r="M37" s="10"/>
      <c r="N37" s="10"/>
      <c r="O37" s="9"/>
    </row>
    <row r="38" ht="16.5" customHeight="1">
      <c r="E38" s="9" t="s">
        <v>109</v>
      </c>
      <c r="M38" s="10"/>
      <c r="N38" s="10"/>
      <c r="O38" s="9"/>
    </row>
    <row r="39" ht="16.5" customHeight="1">
      <c r="M39" s="10"/>
      <c r="N39" s="62"/>
      <c r="R39" s="62"/>
    </row>
    <row r="40" ht="16.5" customHeight="1">
      <c r="A40" s="62"/>
      <c r="B40" s="62"/>
      <c r="C40" s="62"/>
    </row>
    <row r="41" ht="16.5" customHeight="1"/>
    <row r="42" ht="16.5" customHeight="1">
      <c r="A42" s="9"/>
      <c r="B42" s="9"/>
      <c r="E42" s="9"/>
      <c r="G42" s="62"/>
    </row>
    <row r="43" ht="16.5" customHeight="1">
      <c r="A43" s="9"/>
      <c r="B43" s="9"/>
      <c r="E43" s="9"/>
      <c r="G43" s="62"/>
    </row>
    <row r="44" ht="16.5" customHeight="1"/>
    <row r="45" ht="16.5" customHeight="1"/>
    <row r="46" ht="16.5" customHeight="1">
      <c r="I46" s="23"/>
      <c r="J46" s="66"/>
      <c r="K46" s="66"/>
    </row>
    <row r="47" ht="16.5" customHeight="1">
      <c r="F47" s="68" t="s">
        <v>117</v>
      </c>
      <c r="G47" s="69"/>
      <c r="H47" s="69"/>
      <c r="I47" s="69"/>
      <c r="J47" s="69"/>
    </row>
    <row r="48" ht="16.5" customHeight="1"/>
    <row r="49" ht="16.5" customHeight="1">
      <c r="A49" s="70"/>
      <c r="B49" s="70"/>
    </row>
    <row r="50" ht="16.5" customHeight="1">
      <c r="A50" s="70"/>
      <c r="B50" s="70"/>
    </row>
    <row r="51" ht="16.5" customHeight="1">
      <c r="A51" s="26"/>
      <c r="B51" s="26"/>
    </row>
    <row r="52" ht="16.5" customHeight="1">
      <c r="A52" s="71"/>
      <c r="B52" s="71"/>
    </row>
    <row r="53" ht="16.5" customHeight="1"/>
    <row r="54" ht="16.5" customHeight="1"/>
    <row r="55" ht="16.5" customHeight="1"/>
    <row r="56" ht="16.5" customHeight="1"/>
    <row r="57" ht="16.5" customHeight="1">
      <c r="C57" s="8"/>
      <c r="D57" s="72" t="s">
        <v>124</v>
      </c>
      <c r="E57" s="73"/>
      <c r="F57" s="73"/>
      <c r="G57" s="73"/>
      <c r="H57" s="8"/>
      <c r="I57" s="8"/>
      <c r="J57" s="8"/>
      <c r="K57" s="74"/>
    </row>
    <row r="58" ht="16.5" customHeight="1">
      <c r="C58" s="8"/>
      <c r="D58" s="8" t="s">
        <v>126</v>
      </c>
      <c r="K58" s="75">
        <v>35000.0</v>
      </c>
    </row>
    <row r="59" ht="16.5" customHeight="1">
      <c r="C59" s="8"/>
      <c r="D59" s="8" t="s">
        <v>127</v>
      </c>
      <c r="K59" s="75">
        <v>40000.0</v>
      </c>
    </row>
    <row r="60" ht="16.5" customHeight="1">
      <c r="C60" s="8"/>
      <c r="D60" s="8" t="s">
        <v>128</v>
      </c>
      <c r="E60" s="8"/>
      <c r="F60" s="8"/>
      <c r="G60" s="8"/>
      <c r="H60" s="8"/>
      <c r="I60" s="8"/>
      <c r="J60" s="8"/>
      <c r="K60" s="75">
        <v>65000.0</v>
      </c>
    </row>
    <row r="61" ht="16.5" customHeight="1">
      <c r="C61" s="8"/>
      <c r="D61" s="8" t="s">
        <v>129</v>
      </c>
      <c r="E61" s="8"/>
      <c r="F61" s="8"/>
      <c r="G61" s="8"/>
      <c r="H61" s="8"/>
      <c r="I61" s="8"/>
      <c r="J61" s="8"/>
      <c r="K61" s="75">
        <v>65000.0</v>
      </c>
    </row>
    <row r="62" ht="16.5" customHeight="1">
      <c r="C62" s="8"/>
      <c r="D62" s="8" t="s">
        <v>130</v>
      </c>
      <c r="E62" s="8"/>
      <c r="F62" s="8"/>
      <c r="G62" s="8"/>
      <c r="H62" s="8"/>
      <c r="I62" s="8"/>
      <c r="J62" s="8"/>
      <c r="K62" s="75">
        <v>35000.0</v>
      </c>
    </row>
    <row r="63" ht="16.5" customHeight="1">
      <c r="C63" s="8"/>
      <c r="D63" s="8" t="s">
        <v>131</v>
      </c>
      <c r="E63" s="8"/>
      <c r="F63" s="8"/>
      <c r="G63" s="8"/>
      <c r="H63" s="8"/>
      <c r="I63" s="8"/>
      <c r="J63" s="8"/>
      <c r="K63" s="75">
        <v>37000.0</v>
      </c>
    </row>
    <row r="64" ht="16.5" customHeight="1">
      <c r="C64" s="8"/>
      <c r="D64" s="8" t="s">
        <v>133</v>
      </c>
      <c r="E64" s="8"/>
      <c r="F64" s="8"/>
      <c r="G64" s="8"/>
      <c r="H64" s="8"/>
      <c r="I64" s="8"/>
      <c r="J64" s="8"/>
      <c r="K64" s="75">
        <v>32000.0</v>
      </c>
    </row>
    <row r="65" ht="16.5" customHeight="1">
      <c r="C65" s="8"/>
      <c r="D65" s="8" t="s">
        <v>134</v>
      </c>
      <c r="H65" s="8"/>
      <c r="I65" s="8"/>
      <c r="J65" s="8"/>
      <c r="K65" s="75">
        <v>55000.0</v>
      </c>
    </row>
    <row r="66" ht="16.5" customHeight="1">
      <c r="C66" s="8"/>
      <c r="D66" s="8" t="s">
        <v>135</v>
      </c>
      <c r="E66" s="8"/>
      <c r="F66" s="8"/>
      <c r="G66" s="8"/>
      <c r="H66" s="8"/>
      <c r="I66" s="8"/>
      <c r="J66" s="8"/>
      <c r="K66" s="75">
        <v>60000.0</v>
      </c>
    </row>
    <row r="67" ht="16.5" customHeight="1">
      <c r="C67" s="8"/>
      <c r="D67" s="8" t="s">
        <v>136</v>
      </c>
      <c r="E67" s="8"/>
      <c r="F67" s="8"/>
      <c r="G67" s="8"/>
      <c r="H67" s="8"/>
      <c r="I67" s="8"/>
      <c r="J67" s="8"/>
      <c r="K67" s="75">
        <v>40000.0</v>
      </c>
    </row>
    <row r="68" ht="16.5" customHeight="1">
      <c r="C68" s="8"/>
      <c r="D68" s="8" t="s">
        <v>137</v>
      </c>
      <c r="E68" s="8"/>
      <c r="F68" s="8"/>
      <c r="G68" s="8"/>
      <c r="H68" s="8"/>
      <c r="I68" s="8"/>
      <c r="J68" s="8"/>
      <c r="K68" s="75">
        <v>27000.0</v>
      </c>
    </row>
    <row r="69" ht="16.5" customHeight="1">
      <c r="C69" s="8"/>
      <c r="D69" s="8" t="s">
        <v>138</v>
      </c>
      <c r="E69" s="8"/>
      <c r="F69" s="8"/>
      <c r="G69" s="8"/>
      <c r="H69" s="8"/>
      <c r="I69" s="8"/>
      <c r="J69" s="8"/>
      <c r="K69" s="75">
        <v>32000.0</v>
      </c>
    </row>
    <row r="70" ht="16.5" customHeight="1">
      <c r="C70" s="8"/>
      <c r="D70" s="8" t="s">
        <v>139</v>
      </c>
      <c r="E70" s="8"/>
      <c r="F70" s="8"/>
      <c r="G70" s="8"/>
      <c r="H70" s="8"/>
      <c r="I70" s="8"/>
      <c r="J70" s="8"/>
      <c r="K70" s="75">
        <v>27000.0</v>
      </c>
    </row>
    <row r="71" ht="16.5" customHeight="1">
      <c r="C71" s="8"/>
      <c r="D71" s="8" t="s">
        <v>140</v>
      </c>
      <c r="E71" s="8"/>
      <c r="F71" s="8"/>
      <c r="G71" s="8"/>
      <c r="H71" s="8"/>
      <c r="I71" s="8"/>
      <c r="J71" s="8"/>
      <c r="K71" s="75">
        <v>110000.0</v>
      </c>
    </row>
    <row r="72" ht="16.5" customHeight="1">
      <c r="C72" s="8"/>
      <c r="D72" s="8" t="s">
        <v>142</v>
      </c>
      <c r="E72" s="8"/>
      <c r="F72" s="8"/>
      <c r="G72" s="8"/>
      <c r="H72" s="8"/>
      <c r="I72" s="8"/>
      <c r="J72" s="8"/>
      <c r="K72" s="75">
        <v>30000.0</v>
      </c>
    </row>
    <row r="73" ht="16.5" customHeight="1">
      <c r="C73" s="8"/>
      <c r="D73" s="8" t="s">
        <v>143</v>
      </c>
      <c r="E73" s="8"/>
      <c r="F73" s="8"/>
      <c r="G73" s="8"/>
      <c r="H73" s="8"/>
      <c r="I73" s="8"/>
      <c r="J73" s="8"/>
      <c r="K73" s="75">
        <v>27000.0</v>
      </c>
    </row>
    <row r="74" ht="16.5" customHeight="1">
      <c r="C74" s="8"/>
      <c r="D74" s="8" t="s">
        <v>144</v>
      </c>
      <c r="E74" s="8"/>
      <c r="F74" s="8"/>
      <c r="G74" s="8"/>
      <c r="H74" s="8"/>
      <c r="I74" s="8"/>
      <c r="J74" s="8"/>
      <c r="K74" s="75">
        <v>33000.0</v>
      </c>
    </row>
    <row r="75" ht="16.5" customHeight="1">
      <c r="C75" s="8"/>
      <c r="D75" s="8" t="s">
        <v>145</v>
      </c>
      <c r="E75" s="8"/>
      <c r="F75" s="8"/>
      <c r="G75" s="8"/>
      <c r="H75" s="8"/>
      <c r="I75" s="8"/>
      <c r="J75" s="8"/>
      <c r="K75" s="75">
        <v>35000.0</v>
      </c>
    </row>
    <row r="76" ht="16.5" customHeight="1">
      <c r="C76" s="8"/>
      <c r="D76" s="8" t="s">
        <v>146</v>
      </c>
      <c r="E76" s="8"/>
      <c r="F76" s="8"/>
      <c r="G76" s="8"/>
      <c r="H76" s="8"/>
      <c r="I76" s="8"/>
      <c r="J76" s="8"/>
      <c r="K76" s="75">
        <v>33000.0</v>
      </c>
    </row>
    <row r="77" ht="16.5" customHeight="1">
      <c r="C77" s="8"/>
      <c r="D77" s="8" t="s">
        <v>147</v>
      </c>
      <c r="E77" s="8"/>
      <c r="F77" s="8"/>
      <c r="G77" s="8"/>
      <c r="H77" s="8"/>
      <c r="I77" s="8"/>
      <c r="J77" s="8"/>
      <c r="K77" s="75">
        <v>33000.0</v>
      </c>
    </row>
    <row r="78" ht="16.5" customHeight="1">
      <c r="C78" s="8"/>
      <c r="D78" s="8" t="s">
        <v>148</v>
      </c>
      <c r="E78" s="8"/>
      <c r="F78" s="8"/>
      <c r="G78" s="8"/>
      <c r="H78" s="8"/>
      <c r="I78" s="8"/>
      <c r="J78" s="8"/>
      <c r="K78" s="75">
        <v>35000.0</v>
      </c>
    </row>
    <row r="79" ht="16.5" customHeight="1">
      <c r="C79" s="8"/>
      <c r="D79" s="8" t="s">
        <v>149</v>
      </c>
      <c r="E79" s="8"/>
      <c r="F79" s="8"/>
      <c r="G79" s="8"/>
      <c r="H79" s="8"/>
      <c r="I79" s="8"/>
      <c r="J79" s="8"/>
      <c r="K79" s="75">
        <v>33000.0</v>
      </c>
    </row>
    <row r="80" ht="16.5" customHeight="1">
      <c r="C80" s="8"/>
      <c r="D80" s="8" t="s">
        <v>150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151</v>
      </c>
      <c r="E81" s="8"/>
      <c r="F81" s="8"/>
      <c r="G81" s="8"/>
      <c r="H81" s="8"/>
      <c r="I81" s="8"/>
      <c r="J81" s="8"/>
      <c r="K81" s="75">
        <v>32000.0</v>
      </c>
    </row>
    <row r="82" ht="16.5" customHeight="1">
      <c r="C82" s="8"/>
      <c r="D82" s="8" t="s">
        <v>153</v>
      </c>
      <c r="E82" s="8"/>
      <c r="F82" s="8"/>
      <c r="G82" s="8"/>
      <c r="H82" s="8"/>
      <c r="I82" s="8"/>
      <c r="J82" s="8"/>
      <c r="K82" s="75">
        <v>33000.0</v>
      </c>
    </row>
    <row r="83" ht="16.5" customHeight="1">
      <c r="C83" s="8"/>
      <c r="D83" s="8" t="s">
        <v>154</v>
      </c>
      <c r="E83" s="8"/>
      <c r="F83" s="8"/>
      <c r="G83" s="8"/>
      <c r="H83" s="8"/>
      <c r="I83" s="8"/>
      <c r="J83" s="8"/>
      <c r="K83" s="75">
        <v>40000.0</v>
      </c>
    </row>
    <row r="84" ht="16.5" customHeight="1">
      <c r="C84" s="8"/>
      <c r="D84" s="8" t="s">
        <v>155</v>
      </c>
      <c r="E84" s="8"/>
      <c r="F84" s="8"/>
      <c r="G84" s="8"/>
      <c r="H84" s="8"/>
      <c r="I84" s="8"/>
      <c r="J84" s="8"/>
      <c r="K84" s="75">
        <v>35000.0</v>
      </c>
    </row>
    <row r="85" ht="16.5" customHeight="1">
      <c r="C85" s="8"/>
      <c r="D85" s="8" t="s">
        <v>156</v>
      </c>
      <c r="E85" s="8"/>
      <c r="F85" s="8"/>
      <c r="G85" s="8"/>
      <c r="H85" s="8"/>
      <c r="I85" s="8"/>
      <c r="J85" s="8"/>
      <c r="K85" s="74"/>
    </row>
    <row r="86" ht="16.5" customHeight="1">
      <c r="C86" s="8"/>
      <c r="D86" s="8" t="s">
        <v>157</v>
      </c>
      <c r="E86" s="8"/>
      <c r="F86" s="8"/>
      <c r="G86" s="8"/>
      <c r="H86" s="8"/>
      <c r="I86" s="8"/>
      <c r="J86" s="8"/>
      <c r="K86" s="74"/>
    </row>
    <row r="87" ht="16.5" customHeight="1">
      <c r="C87" s="8"/>
      <c r="D87" s="8" t="s">
        <v>158</v>
      </c>
      <c r="E87" s="8"/>
      <c r="F87" s="8"/>
      <c r="G87" s="8"/>
      <c r="H87" s="8"/>
      <c r="I87" s="8"/>
      <c r="J87" s="8"/>
      <c r="K87" s="74"/>
    </row>
    <row r="88" ht="16.5" customHeight="1">
      <c r="C88" s="8"/>
      <c r="D88" s="8" t="s">
        <v>159</v>
      </c>
      <c r="E88" s="8"/>
      <c r="F88" s="8"/>
      <c r="G88" s="8"/>
      <c r="H88" s="8"/>
      <c r="I88" s="8"/>
      <c r="J88" s="8"/>
      <c r="K88" s="75">
        <v>35000.0</v>
      </c>
    </row>
    <row r="89" ht="16.5" customHeight="1">
      <c r="C89" s="8"/>
      <c r="D89" s="8" t="s">
        <v>160</v>
      </c>
      <c r="E89" s="8"/>
      <c r="F89" s="8"/>
      <c r="G89" s="8"/>
      <c r="H89" s="8"/>
      <c r="I89" s="8"/>
      <c r="J89" s="8"/>
      <c r="K89" s="75">
        <v>30000.0</v>
      </c>
    </row>
    <row r="90" ht="16.5" customHeight="1">
      <c r="C90" s="8"/>
      <c r="D90" s="8" t="s">
        <v>161</v>
      </c>
      <c r="E90" s="8"/>
      <c r="F90" s="8"/>
      <c r="G90" s="8"/>
      <c r="H90" s="8"/>
      <c r="I90" s="8"/>
      <c r="J90" s="8"/>
      <c r="K90" s="75">
        <v>65000.0</v>
      </c>
    </row>
    <row r="91" ht="16.5" customHeight="1">
      <c r="C91" s="8"/>
      <c r="D91" s="8" t="s">
        <v>163</v>
      </c>
      <c r="E91" s="8"/>
      <c r="F91" s="8"/>
      <c r="G91" s="8"/>
      <c r="H91" s="8"/>
      <c r="I91" s="8"/>
      <c r="J91" s="8"/>
      <c r="K91" s="75">
        <v>33000.0</v>
      </c>
    </row>
    <row r="92" ht="16.5" customHeight="1">
      <c r="C92" s="8"/>
      <c r="D92" s="8" t="s">
        <v>164</v>
      </c>
      <c r="E92" s="8"/>
      <c r="F92" s="8"/>
      <c r="G92" s="8"/>
      <c r="H92" s="8"/>
      <c r="I92" s="8"/>
      <c r="J92" s="8"/>
      <c r="K92" s="75">
        <v>40000.0</v>
      </c>
    </row>
    <row r="93" ht="16.5" customHeight="1">
      <c r="C93" s="8"/>
      <c r="D93" s="8" t="s">
        <v>165</v>
      </c>
      <c r="E93" s="8"/>
      <c r="F93" s="8"/>
      <c r="G93" s="8"/>
      <c r="H93" s="8"/>
      <c r="I93" s="8"/>
      <c r="J93" s="8"/>
      <c r="K93" s="74"/>
    </row>
    <row r="94" ht="16.5" customHeight="1">
      <c r="C94" s="8"/>
      <c r="D94" s="8" t="s">
        <v>166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167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168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169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170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171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173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174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175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176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177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178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179</v>
      </c>
      <c r="E106" s="8"/>
      <c r="F106" s="8"/>
      <c r="G106" s="8"/>
      <c r="H106" s="8"/>
      <c r="I106" s="8"/>
      <c r="J106" s="8"/>
      <c r="K106" s="74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B1:K1"/>
    <mergeCell ref="B2:K2"/>
    <mergeCell ref="B3:K3"/>
    <mergeCell ref="B4:K5"/>
    <mergeCell ref="I7:J7"/>
    <mergeCell ref="B8:E8"/>
    <mergeCell ref="B9:C9"/>
    <mergeCell ref="B10:K10"/>
    <mergeCell ref="T14:W14"/>
    <mergeCell ref="T18:Z18"/>
    <mergeCell ref="C20:F20"/>
    <mergeCell ref="G20:H20"/>
    <mergeCell ref="G21:H21"/>
    <mergeCell ref="G22:H22"/>
    <mergeCell ref="G28:H28"/>
    <mergeCell ref="G29:H29"/>
    <mergeCell ref="C30:F30"/>
    <mergeCell ref="G30:H30"/>
    <mergeCell ref="D58:J58"/>
    <mergeCell ref="D59:J59"/>
    <mergeCell ref="D65:G65"/>
    <mergeCell ref="C22:F22"/>
    <mergeCell ref="C23:F23"/>
    <mergeCell ref="G23:H23"/>
    <mergeCell ref="G24:H24"/>
    <mergeCell ref="G25:H25"/>
    <mergeCell ref="G26:H26"/>
    <mergeCell ref="G27:H27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6.0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78" t="s">
        <v>196</v>
      </c>
      <c r="J7" s="9"/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197</v>
      </c>
      <c r="L12" s="23"/>
      <c r="M12" s="24"/>
      <c r="O12" s="21"/>
      <c r="P12" s="5"/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O13" s="21" t="s">
        <v>25</v>
      </c>
      <c r="P13" s="9"/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O14" s="21" t="s">
        <v>30</v>
      </c>
      <c r="P14" s="9"/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O15" s="21" t="s">
        <v>36</v>
      </c>
      <c r="P15" s="9"/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O16" s="21" t="s">
        <v>41</v>
      </c>
      <c r="P16" s="9"/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O17" s="21" t="s">
        <v>46</v>
      </c>
      <c r="P17" s="9"/>
      <c r="T17" s="25" t="s">
        <v>47</v>
      </c>
    </row>
    <row r="18" ht="16.5" customHeight="1">
      <c r="A18" s="22"/>
      <c r="B18" s="22"/>
      <c r="C18" s="12"/>
      <c r="D18" s="5"/>
      <c r="E18" s="9"/>
      <c r="O18" s="21" t="s">
        <v>49</v>
      </c>
      <c r="P18" s="5"/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1" t="s">
        <v>52</v>
      </c>
      <c r="P19" s="5"/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O20" s="21" t="s">
        <v>61</v>
      </c>
      <c r="P20" s="5"/>
      <c r="T20" s="25" t="s">
        <v>62</v>
      </c>
    </row>
    <row r="21" ht="16.5" customHeight="1">
      <c r="A21" s="38"/>
      <c r="B21" s="39">
        <v>1.0</v>
      </c>
      <c r="C21" s="5" t="s">
        <v>191</v>
      </c>
      <c r="D21" s="40"/>
      <c r="E21" s="40"/>
      <c r="F21" s="41"/>
      <c r="G21" s="42">
        <v>25.0</v>
      </c>
      <c r="H21" s="30"/>
      <c r="I21" s="43">
        <v>40.0</v>
      </c>
      <c r="J21" s="47">
        <f t="shared" ref="J21:J32" si="1">G21*I21</f>
        <v>1000</v>
      </c>
      <c r="O21" s="5" t="s">
        <v>68</v>
      </c>
      <c r="P21" s="5"/>
      <c r="T21" s="48" t="s">
        <v>69</v>
      </c>
    </row>
    <row r="22" ht="16.5" customHeight="1">
      <c r="A22" s="38"/>
      <c r="B22" s="39">
        <v>2.0</v>
      </c>
      <c r="C22" s="28" t="s">
        <v>78</v>
      </c>
      <c r="D22" s="29"/>
      <c r="E22" s="29"/>
      <c r="F22" s="30"/>
      <c r="G22" s="42">
        <v>15.0</v>
      </c>
      <c r="H22" s="30"/>
      <c r="I22" s="49">
        <v>25.0</v>
      </c>
      <c r="J22" s="47">
        <f t="shared" si="1"/>
        <v>375</v>
      </c>
      <c r="T22" s="48"/>
    </row>
    <row r="23" ht="16.5" customHeight="1">
      <c r="A23" s="38"/>
      <c r="B23" s="39">
        <v>3.0</v>
      </c>
      <c r="C23" s="28" t="s">
        <v>84</v>
      </c>
      <c r="D23" s="29"/>
      <c r="E23" s="29"/>
      <c r="F23" s="30"/>
      <c r="G23" s="42">
        <v>15.0</v>
      </c>
      <c r="H23" s="30"/>
      <c r="I23" s="49">
        <v>25.0</v>
      </c>
      <c r="J23" s="47">
        <f t="shared" si="1"/>
        <v>375</v>
      </c>
      <c r="T23" s="48"/>
    </row>
    <row r="24" ht="16.5" customHeight="1">
      <c r="A24" s="38"/>
      <c r="B24" s="39">
        <v>4.0</v>
      </c>
      <c r="C24" s="48" t="s">
        <v>74</v>
      </c>
      <c r="D24" s="48"/>
      <c r="E24" s="48"/>
      <c r="F24" s="48"/>
      <c r="G24" s="42">
        <v>10.0</v>
      </c>
      <c r="H24" s="30"/>
      <c r="I24" s="50">
        <v>39.0</v>
      </c>
      <c r="J24" s="47">
        <f t="shared" si="1"/>
        <v>390</v>
      </c>
    </row>
    <row r="25" ht="16.5" customHeight="1">
      <c r="A25" s="38"/>
      <c r="B25" s="39">
        <v>5.0</v>
      </c>
      <c r="C25" s="48" t="s">
        <v>84</v>
      </c>
      <c r="D25" s="48"/>
      <c r="E25" s="48"/>
      <c r="F25" s="48"/>
      <c r="G25" s="42">
        <v>10.0</v>
      </c>
      <c r="H25" s="30"/>
      <c r="I25" s="50">
        <v>38.0</v>
      </c>
      <c r="J25" s="47">
        <f t="shared" si="1"/>
        <v>380</v>
      </c>
    </row>
    <row r="26" ht="16.5" customHeight="1">
      <c r="A26" s="38"/>
      <c r="B26" s="39">
        <v>6.0</v>
      </c>
      <c r="C26" s="48" t="s">
        <v>193</v>
      </c>
      <c r="D26" s="48"/>
      <c r="E26" s="48"/>
      <c r="F26" s="48"/>
      <c r="G26" s="42">
        <v>10.0</v>
      </c>
      <c r="H26" s="30"/>
      <c r="I26" s="50">
        <v>75.0</v>
      </c>
      <c r="J26" s="47">
        <f t="shared" si="1"/>
        <v>750</v>
      </c>
    </row>
    <row r="27" ht="16.5" customHeight="1">
      <c r="A27" s="38"/>
      <c r="B27" s="39">
        <v>7.0</v>
      </c>
      <c r="C27" s="48" t="s">
        <v>66</v>
      </c>
      <c r="D27" s="48"/>
      <c r="E27" s="48"/>
      <c r="F27" s="48"/>
      <c r="G27" s="42">
        <v>5.0</v>
      </c>
      <c r="H27" s="30"/>
      <c r="I27" s="50">
        <v>26.0</v>
      </c>
      <c r="J27" s="47">
        <f t="shared" si="1"/>
        <v>130</v>
      </c>
    </row>
    <row r="28" ht="16.5" customHeight="1">
      <c r="A28" s="38"/>
      <c r="B28" s="39">
        <v>8.0</v>
      </c>
      <c r="C28" s="48" t="s">
        <v>198</v>
      </c>
      <c r="D28" s="48"/>
      <c r="E28" s="48"/>
      <c r="F28" s="48"/>
      <c r="G28" s="42">
        <v>5.0</v>
      </c>
      <c r="H28" s="30"/>
      <c r="I28" s="50">
        <v>54.0</v>
      </c>
      <c r="J28" s="47">
        <f t="shared" si="1"/>
        <v>270</v>
      </c>
    </row>
    <row r="29" ht="16.5" customHeight="1">
      <c r="A29" s="38"/>
      <c r="B29" s="39">
        <v>9.0</v>
      </c>
      <c r="C29" s="48" t="s">
        <v>199</v>
      </c>
      <c r="D29" s="48"/>
      <c r="E29" s="48"/>
      <c r="F29" s="48"/>
      <c r="G29" s="42">
        <v>5.0</v>
      </c>
      <c r="H29" s="30"/>
      <c r="I29" s="50">
        <v>45.0</v>
      </c>
      <c r="J29" s="47">
        <f t="shared" si="1"/>
        <v>225</v>
      </c>
    </row>
    <row r="30" ht="16.5" customHeight="1">
      <c r="A30" s="38"/>
      <c r="B30" s="39">
        <v>10.0</v>
      </c>
      <c r="C30" s="48" t="s">
        <v>194</v>
      </c>
      <c r="D30" s="48"/>
      <c r="E30" s="48"/>
      <c r="F30" s="48"/>
      <c r="G30" s="42">
        <v>5.0</v>
      </c>
      <c r="H30" s="30"/>
      <c r="I30" s="50">
        <v>24.0</v>
      </c>
      <c r="J30" s="47">
        <f t="shared" si="1"/>
        <v>120</v>
      </c>
    </row>
    <row r="31" ht="16.5" customHeight="1">
      <c r="A31" s="38"/>
      <c r="B31" s="39">
        <v>11.0</v>
      </c>
      <c r="C31" s="48" t="s">
        <v>195</v>
      </c>
      <c r="D31" s="48"/>
      <c r="E31" s="48"/>
      <c r="F31" s="48"/>
      <c r="G31" s="42">
        <v>15.0</v>
      </c>
      <c r="H31" s="30"/>
      <c r="I31" s="50">
        <v>36.0</v>
      </c>
      <c r="J31" s="47">
        <f t="shared" si="1"/>
        <v>540</v>
      </c>
    </row>
    <row r="32" ht="16.5" customHeight="1">
      <c r="A32" s="38"/>
      <c r="B32" s="39">
        <v>12.0</v>
      </c>
      <c r="C32" s="51" t="s">
        <v>90</v>
      </c>
      <c r="D32" s="29"/>
      <c r="E32" s="29"/>
      <c r="F32" s="30"/>
      <c r="G32" s="42">
        <f>SUM(G33)/30</f>
        <v>4</v>
      </c>
      <c r="H32" s="30"/>
      <c r="I32" s="50">
        <v>120.0</v>
      </c>
      <c r="J32" s="47">
        <f t="shared" si="1"/>
        <v>480</v>
      </c>
    </row>
    <row r="33" ht="16.5" customHeight="1">
      <c r="A33" s="10"/>
      <c r="B33" s="52" t="s">
        <v>93</v>
      </c>
      <c r="C33" s="53"/>
      <c r="D33" s="53"/>
      <c r="E33" s="53"/>
      <c r="F33" s="53"/>
      <c r="G33" s="53">
        <f>SUM(G21:G31)</f>
        <v>120</v>
      </c>
      <c r="H33" s="53"/>
      <c r="I33" s="54" t="s">
        <v>98</v>
      </c>
      <c r="J33" s="55">
        <f>SUM(J21:J32)</f>
        <v>5035</v>
      </c>
    </row>
    <row r="34" ht="28.5" customHeight="1">
      <c r="A34" s="56"/>
      <c r="B34" s="56" t="s">
        <v>102</v>
      </c>
      <c r="C34" s="9"/>
      <c r="D34" s="9"/>
      <c r="E34" s="9"/>
      <c r="F34" s="9"/>
      <c r="G34" s="9"/>
      <c r="H34" s="9"/>
      <c r="I34" s="9"/>
    </row>
    <row r="35" ht="16.5" customHeight="1">
      <c r="A35" s="9"/>
      <c r="B35" s="9"/>
      <c r="F35" s="9"/>
    </row>
    <row r="36" ht="16.5" customHeight="1">
      <c r="A36" s="58"/>
      <c r="B36" s="58" t="s">
        <v>104</v>
      </c>
      <c r="C36" s="9"/>
      <c r="D36" s="9"/>
      <c r="F36" s="9"/>
    </row>
    <row r="37" ht="7.5" customHeight="1">
      <c r="M37" s="10"/>
      <c r="N37" s="10"/>
      <c r="O37" s="9"/>
      <c r="Q37" s="9"/>
    </row>
    <row r="38" ht="16.5" customHeight="1">
      <c r="A38" s="10"/>
      <c r="B38" s="61" t="s">
        <v>105</v>
      </c>
      <c r="C38" s="62"/>
      <c r="D38" s="5" t="s">
        <v>15</v>
      </c>
      <c r="E38" s="9" t="s">
        <v>107</v>
      </c>
      <c r="G38" s="62"/>
      <c r="L38" s="63"/>
      <c r="M38" s="10"/>
      <c r="N38" s="10"/>
      <c r="O38" s="9"/>
      <c r="Q38" s="9"/>
    </row>
    <row r="39" ht="16.5" customHeight="1">
      <c r="A39" s="10"/>
      <c r="B39" s="61" t="s">
        <v>108</v>
      </c>
      <c r="D39" s="5" t="s">
        <v>15</v>
      </c>
      <c r="E39" s="9" t="s">
        <v>107</v>
      </c>
      <c r="M39" s="10"/>
      <c r="N39" s="10"/>
      <c r="O39" s="9"/>
    </row>
    <row r="40" ht="16.5" customHeight="1">
      <c r="E40" s="9" t="s">
        <v>109</v>
      </c>
      <c r="M40" s="10"/>
      <c r="N40" s="10"/>
      <c r="O40" s="9"/>
    </row>
    <row r="41" ht="16.5" customHeight="1">
      <c r="M41" s="10"/>
      <c r="N41" s="62"/>
      <c r="R41" s="62"/>
    </row>
    <row r="42" ht="16.5" customHeight="1">
      <c r="A42" s="62"/>
      <c r="B42" s="62"/>
      <c r="C42" s="62"/>
    </row>
    <row r="43" ht="16.5" customHeight="1"/>
    <row r="44" ht="16.5" customHeight="1">
      <c r="A44" s="9"/>
      <c r="B44" s="9"/>
      <c r="E44" s="9"/>
      <c r="G44" s="62"/>
    </row>
    <row r="45" ht="16.5" customHeight="1">
      <c r="A45" s="9"/>
      <c r="B45" s="9"/>
      <c r="E45" s="9"/>
      <c r="G45" s="62"/>
    </row>
    <row r="46" ht="16.5" customHeight="1"/>
    <row r="47" ht="16.5" customHeight="1"/>
    <row r="48" ht="16.5" customHeight="1">
      <c r="I48" s="23"/>
      <c r="J48" s="66"/>
      <c r="K48" s="66"/>
    </row>
    <row r="49" ht="16.5" customHeight="1">
      <c r="F49" s="68" t="s">
        <v>117</v>
      </c>
      <c r="G49" s="69"/>
      <c r="H49" s="69"/>
      <c r="I49" s="69"/>
      <c r="J49" s="69"/>
    </row>
    <row r="50" ht="16.5" customHeight="1"/>
    <row r="51" ht="16.5" customHeight="1">
      <c r="A51" s="70"/>
      <c r="B51" s="70"/>
    </row>
    <row r="52" ht="16.5" customHeight="1">
      <c r="A52" s="70"/>
      <c r="B52" s="70"/>
    </row>
    <row r="53" ht="16.5" customHeight="1">
      <c r="A53" s="26"/>
      <c r="B53" s="26"/>
    </row>
    <row r="54" ht="16.5" customHeight="1">
      <c r="A54" s="71"/>
      <c r="B54" s="71"/>
    </row>
    <row r="55" ht="16.5" customHeight="1"/>
    <row r="56" ht="16.5" customHeight="1"/>
    <row r="57" ht="16.5" customHeight="1"/>
    <row r="58" ht="16.5" customHeight="1"/>
    <row r="59" ht="16.5" customHeight="1">
      <c r="C59" s="8"/>
      <c r="D59" s="72" t="s">
        <v>124</v>
      </c>
      <c r="E59" s="73"/>
      <c r="F59" s="73"/>
      <c r="G59" s="73"/>
      <c r="H59" s="8"/>
      <c r="I59" s="8"/>
      <c r="J59" s="8"/>
      <c r="K59" s="74"/>
    </row>
    <row r="60" ht="16.5" customHeight="1">
      <c r="C60" s="8"/>
      <c r="D60" s="8" t="s">
        <v>126</v>
      </c>
      <c r="K60" s="75">
        <v>35000.0</v>
      </c>
    </row>
    <row r="61" ht="16.5" customHeight="1">
      <c r="C61" s="8"/>
      <c r="D61" s="8" t="s">
        <v>127</v>
      </c>
      <c r="K61" s="75">
        <v>40000.0</v>
      </c>
    </row>
    <row r="62" ht="16.5" customHeight="1">
      <c r="C62" s="8"/>
      <c r="D62" s="8" t="s">
        <v>128</v>
      </c>
      <c r="E62" s="8"/>
      <c r="F62" s="8"/>
      <c r="G62" s="8"/>
      <c r="H62" s="8"/>
      <c r="I62" s="8"/>
      <c r="J62" s="8"/>
      <c r="K62" s="75">
        <v>65000.0</v>
      </c>
    </row>
    <row r="63" ht="16.5" customHeight="1">
      <c r="C63" s="8"/>
      <c r="D63" s="8" t="s">
        <v>129</v>
      </c>
      <c r="E63" s="8"/>
      <c r="F63" s="8"/>
      <c r="G63" s="8"/>
      <c r="H63" s="8"/>
      <c r="I63" s="8"/>
      <c r="J63" s="8"/>
      <c r="K63" s="75">
        <v>65000.0</v>
      </c>
    </row>
    <row r="64" ht="16.5" customHeight="1">
      <c r="C64" s="8"/>
      <c r="D64" s="8" t="s">
        <v>130</v>
      </c>
      <c r="E64" s="8"/>
      <c r="F64" s="8"/>
      <c r="G64" s="8"/>
      <c r="H64" s="8"/>
      <c r="I64" s="8"/>
      <c r="J64" s="8"/>
      <c r="K64" s="75">
        <v>35000.0</v>
      </c>
    </row>
    <row r="65" ht="16.5" customHeight="1">
      <c r="C65" s="8"/>
      <c r="D65" s="8" t="s">
        <v>131</v>
      </c>
      <c r="E65" s="8"/>
      <c r="F65" s="8"/>
      <c r="G65" s="8"/>
      <c r="H65" s="8"/>
      <c r="I65" s="8"/>
      <c r="J65" s="8"/>
      <c r="K65" s="75">
        <v>37000.0</v>
      </c>
    </row>
    <row r="66" ht="16.5" customHeight="1">
      <c r="C66" s="8"/>
      <c r="D66" s="8" t="s">
        <v>133</v>
      </c>
      <c r="E66" s="8"/>
      <c r="F66" s="8"/>
      <c r="G66" s="8"/>
      <c r="H66" s="8"/>
      <c r="I66" s="8"/>
      <c r="J66" s="8"/>
      <c r="K66" s="75">
        <v>32000.0</v>
      </c>
    </row>
    <row r="67" ht="16.5" customHeight="1">
      <c r="C67" s="8"/>
      <c r="D67" s="8" t="s">
        <v>134</v>
      </c>
      <c r="H67" s="8"/>
      <c r="I67" s="8"/>
      <c r="J67" s="8"/>
      <c r="K67" s="75">
        <v>55000.0</v>
      </c>
    </row>
    <row r="68" ht="16.5" customHeight="1">
      <c r="C68" s="8"/>
      <c r="D68" s="8" t="s">
        <v>135</v>
      </c>
      <c r="E68" s="8"/>
      <c r="F68" s="8"/>
      <c r="G68" s="8"/>
      <c r="H68" s="8"/>
      <c r="I68" s="8"/>
      <c r="J68" s="8"/>
      <c r="K68" s="75">
        <v>60000.0</v>
      </c>
    </row>
    <row r="69" ht="16.5" customHeight="1">
      <c r="C69" s="8"/>
      <c r="D69" s="8" t="s">
        <v>136</v>
      </c>
      <c r="E69" s="8"/>
      <c r="F69" s="8"/>
      <c r="G69" s="8"/>
      <c r="H69" s="8"/>
      <c r="I69" s="8"/>
      <c r="J69" s="8"/>
      <c r="K69" s="75">
        <v>40000.0</v>
      </c>
    </row>
    <row r="70" ht="16.5" customHeight="1">
      <c r="C70" s="8"/>
      <c r="D70" s="8" t="s">
        <v>137</v>
      </c>
      <c r="E70" s="8"/>
      <c r="F70" s="8"/>
      <c r="G70" s="8"/>
      <c r="H70" s="8"/>
      <c r="I70" s="8"/>
      <c r="J70" s="8"/>
      <c r="K70" s="75">
        <v>27000.0</v>
      </c>
    </row>
    <row r="71" ht="16.5" customHeight="1">
      <c r="C71" s="8"/>
      <c r="D71" s="8" t="s">
        <v>138</v>
      </c>
      <c r="E71" s="8"/>
      <c r="F71" s="8"/>
      <c r="G71" s="8"/>
      <c r="H71" s="8"/>
      <c r="I71" s="8"/>
      <c r="J71" s="8"/>
      <c r="K71" s="75">
        <v>32000.0</v>
      </c>
    </row>
    <row r="72" ht="16.5" customHeight="1">
      <c r="C72" s="8"/>
      <c r="D72" s="8" t="s">
        <v>139</v>
      </c>
      <c r="E72" s="8"/>
      <c r="F72" s="8"/>
      <c r="G72" s="8"/>
      <c r="H72" s="8"/>
      <c r="I72" s="8"/>
      <c r="J72" s="8"/>
      <c r="K72" s="75">
        <v>27000.0</v>
      </c>
    </row>
    <row r="73" ht="16.5" customHeight="1">
      <c r="C73" s="8"/>
      <c r="D73" s="8" t="s">
        <v>140</v>
      </c>
      <c r="E73" s="8"/>
      <c r="F73" s="8"/>
      <c r="G73" s="8"/>
      <c r="H73" s="8"/>
      <c r="I73" s="8"/>
      <c r="J73" s="8"/>
      <c r="K73" s="75">
        <v>110000.0</v>
      </c>
    </row>
    <row r="74" ht="16.5" customHeight="1">
      <c r="C74" s="8"/>
      <c r="D74" s="8" t="s">
        <v>142</v>
      </c>
      <c r="E74" s="8"/>
      <c r="F74" s="8"/>
      <c r="G74" s="8"/>
      <c r="H74" s="8"/>
      <c r="I74" s="8"/>
      <c r="J74" s="8"/>
      <c r="K74" s="75">
        <v>30000.0</v>
      </c>
    </row>
    <row r="75" ht="16.5" customHeight="1">
      <c r="C75" s="8"/>
      <c r="D75" s="8" t="s">
        <v>143</v>
      </c>
      <c r="E75" s="8"/>
      <c r="F75" s="8"/>
      <c r="G75" s="8"/>
      <c r="H75" s="8"/>
      <c r="I75" s="8"/>
      <c r="J75" s="8"/>
      <c r="K75" s="75">
        <v>27000.0</v>
      </c>
    </row>
    <row r="76" ht="16.5" customHeight="1">
      <c r="C76" s="8"/>
      <c r="D76" s="8" t="s">
        <v>144</v>
      </c>
      <c r="E76" s="8"/>
      <c r="F76" s="8"/>
      <c r="G76" s="8"/>
      <c r="H76" s="8"/>
      <c r="I76" s="8"/>
      <c r="J76" s="8"/>
      <c r="K76" s="75">
        <v>33000.0</v>
      </c>
    </row>
    <row r="77" ht="16.5" customHeight="1">
      <c r="C77" s="8"/>
      <c r="D77" s="8" t="s">
        <v>145</v>
      </c>
      <c r="E77" s="8"/>
      <c r="F77" s="8"/>
      <c r="G77" s="8"/>
      <c r="H77" s="8"/>
      <c r="I77" s="8"/>
      <c r="J77" s="8"/>
      <c r="K77" s="75">
        <v>35000.0</v>
      </c>
    </row>
    <row r="78" ht="16.5" customHeight="1">
      <c r="C78" s="8"/>
      <c r="D78" s="8" t="s">
        <v>146</v>
      </c>
      <c r="E78" s="8"/>
      <c r="F78" s="8"/>
      <c r="G78" s="8"/>
      <c r="H78" s="8"/>
      <c r="I78" s="8"/>
      <c r="J78" s="8"/>
      <c r="K78" s="75">
        <v>33000.0</v>
      </c>
    </row>
    <row r="79" ht="16.5" customHeight="1">
      <c r="C79" s="8"/>
      <c r="D79" s="8" t="s">
        <v>147</v>
      </c>
      <c r="E79" s="8"/>
      <c r="F79" s="8"/>
      <c r="G79" s="8"/>
      <c r="H79" s="8"/>
      <c r="I79" s="8"/>
      <c r="J79" s="8"/>
      <c r="K79" s="75">
        <v>33000.0</v>
      </c>
    </row>
    <row r="80" ht="16.5" customHeight="1">
      <c r="C80" s="8"/>
      <c r="D80" s="8" t="s">
        <v>148</v>
      </c>
      <c r="E80" s="8"/>
      <c r="F80" s="8"/>
      <c r="G80" s="8"/>
      <c r="H80" s="8"/>
      <c r="I80" s="8"/>
      <c r="J80" s="8"/>
      <c r="K80" s="75">
        <v>35000.0</v>
      </c>
    </row>
    <row r="81" ht="16.5" customHeight="1">
      <c r="C81" s="8"/>
      <c r="D81" s="8" t="s">
        <v>149</v>
      </c>
      <c r="E81" s="8"/>
      <c r="F81" s="8"/>
      <c r="G81" s="8"/>
      <c r="H81" s="8"/>
      <c r="I81" s="8"/>
      <c r="J81" s="8"/>
      <c r="K81" s="75">
        <v>33000.0</v>
      </c>
    </row>
    <row r="82" ht="16.5" customHeight="1">
      <c r="C82" s="8"/>
      <c r="D82" s="8" t="s">
        <v>150</v>
      </c>
      <c r="E82" s="8"/>
      <c r="F82" s="8"/>
      <c r="G82" s="8"/>
      <c r="H82" s="8"/>
      <c r="I82" s="8"/>
      <c r="J82" s="8"/>
      <c r="K82" s="75">
        <v>33000.0</v>
      </c>
    </row>
    <row r="83" ht="16.5" customHeight="1">
      <c r="C83" s="8"/>
      <c r="D83" s="8" t="s">
        <v>151</v>
      </c>
      <c r="E83" s="8"/>
      <c r="F83" s="8"/>
      <c r="G83" s="8"/>
      <c r="H83" s="8"/>
      <c r="I83" s="8"/>
      <c r="J83" s="8"/>
      <c r="K83" s="75">
        <v>32000.0</v>
      </c>
    </row>
    <row r="84" ht="16.5" customHeight="1">
      <c r="C84" s="8"/>
      <c r="D84" s="8" t="s">
        <v>153</v>
      </c>
      <c r="E84" s="8"/>
      <c r="F84" s="8"/>
      <c r="G84" s="8"/>
      <c r="H84" s="8"/>
      <c r="I84" s="8"/>
      <c r="J84" s="8"/>
      <c r="K84" s="75">
        <v>33000.0</v>
      </c>
    </row>
    <row r="85" ht="16.5" customHeight="1">
      <c r="C85" s="8"/>
      <c r="D85" s="8" t="s">
        <v>154</v>
      </c>
      <c r="E85" s="8"/>
      <c r="F85" s="8"/>
      <c r="G85" s="8"/>
      <c r="H85" s="8"/>
      <c r="I85" s="8"/>
      <c r="J85" s="8"/>
      <c r="K85" s="75">
        <v>40000.0</v>
      </c>
    </row>
    <row r="86" ht="16.5" customHeight="1">
      <c r="C86" s="8"/>
      <c r="D86" s="8" t="s">
        <v>155</v>
      </c>
      <c r="E86" s="8"/>
      <c r="F86" s="8"/>
      <c r="G86" s="8"/>
      <c r="H86" s="8"/>
      <c r="I86" s="8"/>
      <c r="J86" s="8"/>
      <c r="K86" s="75">
        <v>35000.0</v>
      </c>
    </row>
    <row r="87" ht="16.5" customHeight="1">
      <c r="C87" s="8"/>
      <c r="D87" s="8" t="s">
        <v>156</v>
      </c>
      <c r="E87" s="8"/>
      <c r="F87" s="8"/>
      <c r="G87" s="8"/>
      <c r="H87" s="8"/>
      <c r="I87" s="8"/>
      <c r="J87" s="8"/>
      <c r="K87" s="74"/>
    </row>
    <row r="88" ht="16.5" customHeight="1">
      <c r="C88" s="8"/>
      <c r="D88" s="8" t="s">
        <v>157</v>
      </c>
      <c r="E88" s="8"/>
      <c r="F88" s="8"/>
      <c r="G88" s="8"/>
      <c r="H88" s="8"/>
      <c r="I88" s="8"/>
      <c r="J88" s="8"/>
      <c r="K88" s="74"/>
    </row>
    <row r="89" ht="16.5" customHeight="1">
      <c r="C89" s="8"/>
      <c r="D89" s="8" t="s">
        <v>158</v>
      </c>
      <c r="E89" s="8"/>
      <c r="F89" s="8"/>
      <c r="G89" s="8"/>
      <c r="H89" s="8"/>
      <c r="I89" s="8"/>
      <c r="J89" s="8"/>
      <c r="K89" s="74"/>
    </row>
    <row r="90" ht="16.5" customHeight="1">
      <c r="C90" s="8"/>
      <c r="D90" s="8" t="s">
        <v>159</v>
      </c>
      <c r="E90" s="8"/>
      <c r="F90" s="8"/>
      <c r="G90" s="8"/>
      <c r="H90" s="8"/>
      <c r="I90" s="8"/>
      <c r="J90" s="8"/>
      <c r="K90" s="75">
        <v>35000.0</v>
      </c>
    </row>
    <row r="91" ht="16.5" customHeight="1">
      <c r="C91" s="8"/>
      <c r="D91" s="8" t="s">
        <v>160</v>
      </c>
      <c r="E91" s="8"/>
      <c r="F91" s="8"/>
      <c r="G91" s="8"/>
      <c r="H91" s="8"/>
      <c r="I91" s="8"/>
      <c r="J91" s="8"/>
      <c r="K91" s="75">
        <v>30000.0</v>
      </c>
    </row>
    <row r="92" ht="16.5" customHeight="1">
      <c r="C92" s="8"/>
      <c r="D92" s="8" t="s">
        <v>161</v>
      </c>
      <c r="E92" s="8"/>
      <c r="F92" s="8"/>
      <c r="G92" s="8"/>
      <c r="H92" s="8"/>
      <c r="I92" s="8"/>
      <c r="J92" s="8"/>
      <c r="K92" s="75">
        <v>65000.0</v>
      </c>
    </row>
    <row r="93" ht="16.5" customHeight="1">
      <c r="C93" s="8"/>
      <c r="D93" s="8" t="s">
        <v>163</v>
      </c>
      <c r="E93" s="8"/>
      <c r="F93" s="8"/>
      <c r="G93" s="8"/>
      <c r="H93" s="8"/>
      <c r="I93" s="8"/>
      <c r="J93" s="8"/>
      <c r="K93" s="75">
        <v>33000.0</v>
      </c>
    </row>
    <row r="94" ht="16.5" customHeight="1">
      <c r="C94" s="8"/>
      <c r="D94" s="8" t="s">
        <v>164</v>
      </c>
      <c r="E94" s="8"/>
      <c r="F94" s="8"/>
      <c r="G94" s="8"/>
      <c r="H94" s="8"/>
      <c r="I94" s="8"/>
      <c r="J94" s="8"/>
      <c r="K94" s="75">
        <v>40000.0</v>
      </c>
    </row>
    <row r="95" ht="16.5" customHeight="1">
      <c r="C95" s="8"/>
      <c r="D95" s="8" t="s">
        <v>165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166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167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168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169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170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171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173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174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175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176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177</v>
      </c>
      <c r="E106" s="8"/>
      <c r="F106" s="8"/>
      <c r="G106" s="8"/>
      <c r="H106" s="8"/>
      <c r="I106" s="8"/>
      <c r="J106" s="8"/>
      <c r="K106" s="74"/>
    </row>
    <row r="107" ht="16.5" customHeight="1">
      <c r="C107" s="8"/>
      <c r="D107" s="8" t="s">
        <v>178</v>
      </c>
      <c r="E107" s="8"/>
      <c r="F107" s="8"/>
      <c r="G107" s="8"/>
      <c r="H107" s="8"/>
      <c r="I107" s="8"/>
      <c r="J107" s="8"/>
      <c r="K107" s="74"/>
    </row>
    <row r="108" ht="16.5" customHeight="1">
      <c r="C108" s="8"/>
      <c r="D108" s="8" t="s">
        <v>179</v>
      </c>
      <c r="E108" s="8"/>
      <c r="F108" s="8"/>
      <c r="G108" s="8"/>
      <c r="H108" s="8"/>
      <c r="I108" s="8"/>
      <c r="J108" s="8"/>
      <c r="K108" s="74"/>
    </row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C22:F22"/>
    <mergeCell ref="G22:H22"/>
    <mergeCell ref="C23:F23"/>
    <mergeCell ref="G23:H23"/>
    <mergeCell ref="G31:H31"/>
    <mergeCell ref="C32:F32"/>
    <mergeCell ref="G32:H32"/>
    <mergeCell ref="D60:J60"/>
    <mergeCell ref="D61:J61"/>
    <mergeCell ref="D67:G67"/>
    <mergeCell ref="G24:H24"/>
    <mergeCell ref="G25:H25"/>
    <mergeCell ref="G26:H26"/>
    <mergeCell ref="G27:H27"/>
    <mergeCell ref="G28:H28"/>
    <mergeCell ref="G29:H29"/>
    <mergeCell ref="G30:H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78" t="s">
        <v>200</v>
      </c>
      <c r="J7" s="9"/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201</v>
      </c>
      <c r="L12" s="23"/>
      <c r="M12" s="24"/>
      <c r="N12" s="5">
        <v>30.0</v>
      </c>
      <c r="O12" s="21"/>
      <c r="P12" s="5" t="s">
        <v>202</v>
      </c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N13" s="5">
        <v>30.0</v>
      </c>
      <c r="O13" s="21"/>
      <c r="P13" s="9" t="s">
        <v>203</v>
      </c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N14" s="5">
        <v>34.0</v>
      </c>
      <c r="O14" s="21"/>
      <c r="P14" s="9" t="s">
        <v>204</v>
      </c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N15" s="5">
        <v>33.0</v>
      </c>
      <c r="O15" s="21"/>
      <c r="P15" s="9" t="s">
        <v>206</v>
      </c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N16" s="5">
        <v>30.0</v>
      </c>
      <c r="O16" s="21"/>
      <c r="P16" s="9" t="s">
        <v>207</v>
      </c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N17" s="5">
        <v>40.0</v>
      </c>
      <c r="O17" s="21"/>
      <c r="P17" s="9" t="s">
        <v>208</v>
      </c>
      <c r="T17" s="25" t="s">
        <v>47</v>
      </c>
    </row>
    <row r="18" ht="16.5" customHeight="1">
      <c r="A18" s="22"/>
      <c r="B18" s="22"/>
      <c r="C18" s="12"/>
      <c r="D18" s="5"/>
      <c r="E18" s="9"/>
      <c r="N18" s="5">
        <v>30.0</v>
      </c>
      <c r="O18" s="21"/>
      <c r="P18" s="5" t="s">
        <v>209</v>
      </c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5">
        <v>34.0</v>
      </c>
      <c r="O19" s="21"/>
      <c r="P19" s="5" t="s">
        <v>210</v>
      </c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N20" s="5">
        <v>26.0</v>
      </c>
      <c r="O20" s="21"/>
      <c r="P20" s="5" t="s">
        <v>211</v>
      </c>
      <c r="T20" s="25" t="s">
        <v>62</v>
      </c>
    </row>
    <row r="21" ht="16.5" customHeight="1">
      <c r="A21" s="38"/>
      <c r="B21" s="39">
        <v>1.0</v>
      </c>
      <c r="C21" s="5" t="s">
        <v>193</v>
      </c>
      <c r="D21" s="40"/>
      <c r="E21" s="40"/>
      <c r="F21" s="41"/>
      <c r="G21" s="42">
        <v>10.0</v>
      </c>
      <c r="H21" s="30"/>
      <c r="I21" s="43">
        <v>72.0</v>
      </c>
      <c r="J21" s="47">
        <f t="shared" ref="J21:J28" si="1">G21*I21</f>
        <v>720</v>
      </c>
      <c r="N21" s="5">
        <v>45.0</v>
      </c>
      <c r="P21" s="5" t="s">
        <v>212</v>
      </c>
      <c r="T21" s="48" t="s">
        <v>69</v>
      </c>
    </row>
    <row r="22" ht="16.5" customHeight="1">
      <c r="A22" s="38"/>
      <c r="B22" s="39">
        <v>2.0</v>
      </c>
      <c r="C22" s="28" t="s">
        <v>84</v>
      </c>
      <c r="D22" s="29"/>
      <c r="E22" s="29"/>
      <c r="F22" s="30"/>
      <c r="G22" s="42">
        <v>10.0</v>
      </c>
      <c r="H22" s="30"/>
      <c r="I22" s="49">
        <v>35.0</v>
      </c>
      <c r="J22" s="47">
        <f t="shared" si="1"/>
        <v>350</v>
      </c>
      <c r="T22" s="48"/>
    </row>
    <row r="23" ht="16.5" customHeight="1">
      <c r="A23" s="38"/>
      <c r="B23" s="39">
        <v>3.0</v>
      </c>
      <c r="C23" s="28" t="s">
        <v>74</v>
      </c>
      <c r="D23" s="29"/>
      <c r="E23" s="29"/>
      <c r="F23" s="30"/>
      <c r="G23" s="42">
        <v>10.0</v>
      </c>
      <c r="H23" s="30"/>
      <c r="I23" s="49">
        <v>39.0</v>
      </c>
      <c r="J23" s="47">
        <f t="shared" si="1"/>
        <v>390</v>
      </c>
      <c r="T23" s="48"/>
    </row>
    <row r="24" ht="16.5" customHeight="1">
      <c r="A24" s="38"/>
      <c r="B24" s="39">
        <v>4.0</v>
      </c>
      <c r="C24" s="28" t="s">
        <v>195</v>
      </c>
      <c r="D24" s="29"/>
      <c r="E24" s="29"/>
      <c r="F24" s="30"/>
      <c r="G24" s="42">
        <v>10.0</v>
      </c>
      <c r="H24" s="30"/>
      <c r="I24" s="50">
        <v>43.0</v>
      </c>
      <c r="J24" s="47">
        <f t="shared" si="1"/>
        <v>430</v>
      </c>
    </row>
    <row r="25" ht="16.5" customHeight="1">
      <c r="A25" s="38"/>
      <c r="B25" s="39">
        <v>5.0</v>
      </c>
      <c r="C25" s="28" t="s">
        <v>191</v>
      </c>
      <c r="D25" s="29"/>
      <c r="E25" s="29"/>
      <c r="F25" s="30"/>
      <c r="G25" s="42">
        <v>10.0</v>
      </c>
      <c r="H25" s="30"/>
      <c r="I25" s="50">
        <v>40.0</v>
      </c>
      <c r="J25" s="47">
        <f t="shared" si="1"/>
        <v>400</v>
      </c>
    </row>
    <row r="26" ht="16.5" customHeight="1">
      <c r="A26" s="38"/>
      <c r="B26" s="39">
        <v>6.0</v>
      </c>
      <c r="C26" s="28" t="s">
        <v>78</v>
      </c>
      <c r="D26" s="29"/>
      <c r="E26" s="29"/>
      <c r="F26" s="30"/>
      <c r="G26" s="42">
        <v>5.0</v>
      </c>
      <c r="H26" s="30"/>
      <c r="I26" s="50">
        <v>25.0</v>
      </c>
      <c r="J26" s="47">
        <f t="shared" si="1"/>
        <v>125</v>
      </c>
    </row>
    <row r="27" ht="16.5" customHeight="1">
      <c r="A27" s="38"/>
      <c r="B27" s="39">
        <v>7.0</v>
      </c>
      <c r="C27" s="28" t="s">
        <v>76</v>
      </c>
      <c r="D27" s="29"/>
      <c r="E27" s="29"/>
      <c r="F27" s="30"/>
      <c r="G27" s="42">
        <v>5.0</v>
      </c>
      <c r="H27" s="30"/>
      <c r="I27" s="50">
        <v>25.0</v>
      </c>
      <c r="J27" s="47">
        <f t="shared" si="1"/>
        <v>125</v>
      </c>
    </row>
    <row r="28" ht="16.5" customHeight="1">
      <c r="A28" s="38"/>
      <c r="B28" s="39">
        <v>8.0</v>
      </c>
      <c r="C28" s="51" t="s">
        <v>90</v>
      </c>
      <c r="D28" s="29"/>
      <c r="E28" s="29"/>
      <c r="F28" s="30"/>
      <c r="G28" s="42">
        <v>2.0</v>
      </c>
      <c r="H28" s="30"/>
      <c r="I28" s="50">
        <v>120.0</v>
      </c>
      <c r="J28" s="47">
        <f t="shared" si="1"/>
        <v>240</v>
      </c>
    </row>
    <row r="29" ht="16.5" customHeight="1">
      <c r="A29" s="10"/>
      <c r="B29" s="52" t="s">
        <v>93</v>
      </c>
      <c r="C29" s="53"/>
      <c r="D29" s="53"/>
      <c r="E29" s="53"/>
      <c r="F29" s="53"/>
      <c r="G29" s="53">
        <f>SUM(G21:G27)</f>
        <v>60</v>
      </c>
      <c r="H29" s="53"/>
      <c r="I29" s="54" t="s">
        <v>98</v>
      </c>
      <c r="J29" s="55">
        <f>SUM(J21:J28)</f>
        <v>2780</v>
      </c>
    </row>
    <row r="30" ht="28.5" customHeight="1">
      <c r="A30" s="56"/>
      <c r="B30" s="56" t="s">
        <v>102</v>
      </c>
      <c r="C30" s="9"/>
      <c r="D30" s="9"/>
      <c r="E30" s="9"/>
      <c r="F30" s="9"/>
      <c r="G30" s="9"/>
      <c r="H30" s="9"/>
      <c r="I30" s="9"/>
    </row>
    <row r="31" ht="16.5" customHeight="1">
      <c r="A31" s="9"/>
      <c r="B31" s="9"/>
      <c r="F31" s="9"/>
    </row>
    <row r="32" ht="16.5" customHeight="1">
      <c r="A32" s="58"/>
      <c r="B32" s="58" t="s">
        <v>104</v>
      </c>
      <c r="C32" s="9"/>
      <c r="D32" s="9"/>
      <c r="F32" s="9"/>
    </row>
    <row r="33" ht="7.5" customHeight="1">
      <c r="M33" s="10"/>
      <c r="N33" s="10"/>
      <c r="O33" s="9"/>
      <c r="Q33" s="9"/>
    </row>
    <row r="34" ht="16.5" customHeight="1">
      <c r="A34" s="10"/>
      <c r="B34" s="61" t="s">
        <v>105</v>
      </c>
      <c r="C34" s="62"/>
      <c r="D34" s="5" t="s">
        <v>15</v>
      </c>
      <c r="E34" s="9" t="s">
        <v>107</v>
      </c>
      <c r="G34" s="62"/>
      <c r="L34" s="63"/>
      <c r="M34" s="10"/>
      <c r="N34" s="10"/>
      <c r="O34" s="9"/>
      <c r="Q34" s="9"/>
    </row>
    <row r="35" ht="16.5" customHeight="1">
      <c r="A35" s="10"/>
      <c r="B35" s="61" t="s">
        <v>108</v>
      </c>
      <c r="D35" s="5" t="s">
        <v>15</v>
      </c>
      <c r="E35" s="9" t="s">
        <v>107</v>
      </c>
      <c r="M35" s="10"/>
      <c r="N35" s="10"/>
      <c r="O35" s="9"/>
    </row>
    <row r="36" ht="16.5" customHeight="1">
      <c r="E36" s="9" t="s">
        <v>109</v>
      </c>
      <c r="M36" s="10"/>
      <c r="N36" s="10"/>
      <c r="O36" s="9"/>
    </row>
    <row r="37" ht="16.5" customHeight="1">
      <c r="M37" s="10"/>
      <c r="N37" s="62"/>
      <c r="R37" s="62"/>
    </row>
    <row r="38" ht="16.5" customHeight="1">
      <c r="A38" s="62"/>
      <c r="B38" s="62"/>
      <c r="C38" s="62"/>
    </row>
    <row r="39" ht="16.5" customHeight="1"/>
    <row r="40" ht="16.5" customHeight="1">
      <c r="A40" s="9"/>
      <c r="B40" s="9"/>
      <c r="E40" s="9"/>
      <c r="G40" s="62"/>
    </row>
    <row r="41" ht="16.5" customHeight="1">
      <c r="A41" s="9"/>
      <c r="B41" s="9"/>
      <c r="E41" s="9"/>
      <c r="G41" s="62"/>
    </row>
    <row r="42" ht="16.5" customHeight="1"/>
    <row r="43" ht="16.5" customHeight="1"/>
    <row r="44" ht="16.5" customHeight="1">
      <c r="I44" s="23"/>
      <c r="J44" s="66"/>
      <c r="K44" s="66"/>
    </row>
    <row r="45" ht="16.5" customHeight="1">
      <c r="F45" s="68" t="s">
        <v>117</v>
      </c>
      <c r="G45" s="69"/>
      <c r="H45" s="69"/>
      <c r="I45" s="69"/>
      <c r="J45" s="69"/>
    </row>
    <row r="46" ht="16.5" customHeight="1"/>
    <row r="47" ht="16.5" customHeight="1">
      <c r="A47" s="70"/>
      <c r="B47" s="70"/>
    </row>
    <row r="48" ht="16.5" customHeight="1">
      <c r="A48" s="70"/>
      <c r="B48" s="70"/>
    </row>
    <row r="49" ht="16.5" customHeight="1">
      <c r="A49" s="26"/>
      <c r="B49" s="26"/>
    </row>
    <row r="50" ht="16.5" customHeight="1">
      <c r="A50" s="71"/>
      <c r="B50" s="71"/>
    </row>
    <row r="51" ht="16.5" customHeight="1"/>
    <row r="52" ht="16.5" customHeight="1"/>
    <row r="53" ht="16.5" customHeight="1"/>
    <row r="54" ht="16.5" customHeight="1"/>
    <row r="55" ht="16.5" customHeight="1">
      <c r="C55" s="8"/>
      <c r="D55" s="72" t="s">
        <v>124</v>
      </c>
      <c r="E55" s="73"/>
      <c r="F55" s="73"/>
      <c r="G55" s="73"/>
      <c r="H55" s="8"/>
      <c r="I55" s="8"/>
      <c r="J55" s="8"/>
      <c r="K55" s="74"/>
    </row>
    <row r="56" ht="16.5" customHeight="1">
      <c r="C56" s="8"/>
      <c r="D56" s="8" t="s">
        <v>126</v>
      </c>
      <c r="K56" s="75">
        <v>35000.0</v>
      </c>
    </row>
    <row r="57" ht="16.5" customHeight="1">
      <c r="C57" s="8"/>
      <c r="D57" s="8" t="s">
        <v>127</v>
      </c>
      <c r="K57" s="75">
        <v>40000.0</v>
      </c>
    </row>
    <row r="58" ht="16.5" customHeight="1">
      <c r="C58" s="8"/>
      <c r="D58" s="8" t="s">
        <v>128</v>
      </c>
      <c r="E58" s="8"/>
      <c r="F58" s="8"/>
      <c r="G58" s="8"/>
      <c r="H58" s="8"/>
      <c r="I58" s="8"/>
      <c r="J58" s="8"/>
      <c r="K58" s="75">
        <v>65000.0</v>
      </c>
    </row>
    <row r="59" ht="16.5" customHeight="1">
      <c r="C59" s="8"/>
      <c r="D59" s="8" t="s">
        <v>129</v>
      </c>
      <c r="E59" s="8"/>
      <c r="F59" s="8"/>
      <c r="G59" s="8"/>
      <c r="H59" s="8"/>
      <c r="I59" s="8"/>
      <c r="J59" s="8"/>
      <c r="K59" s="75">
        <v>65000.0</v>
      </c>
    </row>
    <row r="60" ht="16.5" customHeight="1">
      <c r="C60" s="8"/>
      <c r="D60" s="8" t="s">
        <v>130</v>
      </c>
      <c r="E60" s="8"/>
      <c r="F60" s="8"/>
      <c r="G60" s="8"/>
      <c r="H60" s="8"/>
      <c r="I60" s="8"/>
      <c r="J60" s="8"/>
      <c r="K60" s="75">
        <v>35000.0</v>
      </c>
    </row>
    <row r="61" ht="16.5" customHeight="1">
      <c r="C61" s="8"/>
      <c r="D61" s="8" t="s">
        <v>131</v>
      </c>
      <c r="E61" s="8"/>
      <c r="F61" s="8"/>
      <c r="G61" s="8"/>
      <c r="H61" s="8"/>
      <c r="I61" s="8"/>
      <c r="J61" s="8"/>
      <c r="K61" s="75">
        <v>37000.0</v>
      </c>
    </row>
    <row r="62" ht="16.5" customHeight="1">
      <c r="C62" s="8"/>
      <c r="D62" s="8" t="s">
        <v>133</v>
      </c>
      <c r="E62" s="8"/>
      <c r="F62" s="8"/>
      <c r="G62" s="8"/>
      <c r="H62" s="8"/>
      <c r="I62" s="8"/>
      <c r="J62" s="8"/>
      <c r="K62" s="75">
        <v>32000.0</v>
      </c>
    </row>
    <row r="63" ht="16.5" customHeight="1">
      <c r="C63" s="8"/>
      <c r="D63" s="8" t="s">
        <v>134</v>
      </c>
      <c r="H63" s="8"/>
      <c r="I63" s="8"/>
      <c r="J63" s="8"/>
      <c r="K63" s="75">
        <v>55000.0</v>
      </c>
    </row>
    <row r="64" ht="16.5" customHeight="1">
      <c r="C64" s="8"/>
      <c r="D64" s="8" t="s">
        <v>135</v>
      </c>
      <c r="E64" s="8"/>
      <c r="F64" s="8"/>
      <c r="G64" s="8"/>
      <c r="H64" s="8"/>
      <c r="I64" s="8"/>
      <c r="J64" s="8"/>
      <c r="K64" s="75">
        <v>60000.0</v>
      </c>
    </row>
    <row r="65" ht="16.5" customHeight="1">
      <c r="C65" s="8"/>
      <c r="D65" s="8" t="s">
        <v>136</v>
      </c>
      <c r="E65" s="8"/>
      <c r="F65" s="8"/>
      <c r="G65" s="8"/>
      <c r="H65" s="8"/>
      <c r="I65" s="8"/>
      <c r="J65" s="8"/>
      <c r="K65" s="75">
        <v>40000.0</v>
      </c>
    </row>
    <row r="66" ht="16.5" customHeight="1">
      <c r="C66" s="8"/>
      <c r="D66" s="8" t="s">
        <v>137</v>
      </c>
      <c r="E66" s="8"/>
      <c r="F66" s="8"/>
      <c r="G66" s="8"/>
      <c r="H66" s="8"/>
      <c r="I66" s="8"/>
      <c r="J66" s="8"/>
      <c r="K66" s="75">
        <v>27000.0</v>
      </c>
    </row>
    <row r="67" ht="16.5" customHeight="1">
      <c r="C67" s="8"/>
      <c r="D67" s="8" t="s">
        <v>138</v>
      </c>
      <c r="E67" s="8"/>
      <c r="F67" s="8"/>
      <c r="G67" s="8"/>
      <c r="H67" s="8"/>
      <c r="I67" s="8"/>
      <c r="J67" s="8"/>
      <c r="K67" s="75">
        <v>32000.0</v>
      </c>
    </row>
    <row r="68" ht="16.5" customHeight="1">
      <c r="C68" s="8"/>
      <c r="D68" s="8" t="s">
        <v>139</v>
      </c>
      <c r="E68" s="8"/>
      <c r="F68" s="8"/>
      <c r="G68" s="8"/>
      <c r="H68" s="8"/>
      <c r="I68" s="8"/>
      <c r="J68" s="8"/>
      <c r="K68" s="75">
        <v>27000.0</v>
      </c>
    </row>
    <row r="69" ht="16.5" customHeight="1">
      <c r="C69" s="8"/>
      <c r="D69" s="8" t="s">
        <v>140</v>
      </c>
      <c r="E69" s="8"/>
      <c r="F69" s="8"/>
      <c r="G69" s="8"/>
      <c r="H69" s="8"/>
      <c r="I69" s="8"/>
      <c r="J69" s="8"/>
      <c r="K69" s="75">
        <v>110000.0</v>
      </c>
    </row>
    <row r="70" ht="16.5" customHeight="1">
      <c r="C70" s="8"/>
      <c r="D70" s="8" t="s">
        <v>142</v>
      </c>
      <c r="E70" s="8"/>
      <c r="F70" s="8"/>
      <c r="G70" s="8"/>
      <c r="H70" s="8"/>
      <c r="I70" s="8"/>
      <c r="J70" s="8"/>
      <c r="K70" s="75">
        <v>30000.0</v>
      </c>
    </row>
    <row r="71" ht="16.5" customHeight="1">
      <c r="C71" s="8"/>
      <c r="D71" s="8" t="s">
        <v>143</v>
      </c>
      <c r="E71" s="8"/>
      <c r="F71" s="8"/>
      <c r="G71" s="8"/>
      <c r="H71" s="8"/>
      <c r="I71" s="8"/>
      <c r="J71" s="8"/>
      <c r="K71" s="75">
        <v>27000.0</v>
      </c>
    </row>
    <row r="72" ht="16.5" customHeight="1">
      <c r="C72" s="8"/>
      <c r="D72" s="8" t="s">
        <v>144</v>
      </c>
      <c r="E72" s="8"/>
      <c r="F72" s="8"/>
      <c r="G72" s="8"/>
      <c r="H72" s="8"/>
      <c r="I72" s="8"/>
      <c r="J72" s="8"/>
      <c r="K72" s="75">
        <v>33000.0</v>
      </c>
    </row>
    <row r="73" ht="16.5" customHeight="1">
      <c r="C73" s="8"/>
      <c r="D73" s="8" t="s">
        <v>145</v>
      </c>
      <c r="E73" s="8"/>
      <c r="F73" s="8"/>
      <c r="G73" s="8"/>
      <c r="H73" s="8"/>
      <c r="I73" s="8"/>
      <c r="J73" s="8"/>
      <c r="K73" s="75">
        <v>35000.0</v>
      </c>
    </row>
    <row r="74" ht="16.5" customHeight="1">
      <c r="C74" s="8"/>
      <c r="D74" s="8" t="s">
        <v>146</v>
      </c>
      <c r="E74" s="8"/>
      <c r="F74" s="8"/>
      <c r="G74" s="8"/>
      <c r="H74" s="8"/>
      <c r="I74" s="8"/>
      <c r="J74" s="8"/>
      <c r="K74" s="75">
        <v>33000.0</v>
      </c>
    </row>
    <row r="75" ht="16.5" customHeight="1">
      <c r="C75" s="8"/>
      <c r="D75" s="8" t="s">
        <v>147</v>
      </c>
      <c r="E75" s="8"/>
      <c r="F75" s="8"/>
      <c r="G75" s="8"/>
      <c r="H75" s="8"/>
      <c r="I75" s="8"/>
      <c r="J75" s="8"/>
      <c r="K75" s="75">
        <v>33000.0</v>
      </c>
    </row>
    <row r="76" ht="16.5" customHeight="1">
      <c r="C76" s="8"/>
      <c r="D76" s="8" t="s">
        <v>148</v>
      </c>
      <c r="E76" s="8"/>
      <c r="F76" s="8"/>
      <c r="G76" s="8"/>
      <c r="H76" s="8"/>
      <c r="I76" s="8"/>
      <c r="J76" s="8"/>
      <c r="K76" s="75">
        <v>35000.0</v>
      </c>
    </row>
    <row r="77" ht="16.5" customHeight="1">
      <c r="C77" s="8"/>
      <c r="D77" s="8" t="s">
        <v>149</v>
      </c>
      <c r="E77" s="8"/>
      <c r="F77" s="8"/>
      <c r="G77" s="8"/>
      <c r="H77" s="8"/>
      <c r="I77" s="8"/>
      <c r="J77" s="8"/>
      <c r="K77" s="75">
        <v>33000.0</v>
      </c>
    </row>
    <row r="78" ht="16.5" customHeight="1">
      <c r="C78" s="8"/>
      <c r="D78" s="8" t="s">
        <v>150</v>
      </c>
      <c r="E78" s="8"/>
      <c r="F78" s="8"/>
      <c r="G78" s="8"/>
      <c r="H78" s="8"/>
      <c r="I78" s="8"/>
      <c r="J78" s="8"/>
      <c r="K78" s="75">
        <v>33000.0</v>
      </c>
    </row>
    <row r="79" ht="16.5" customHeight="1">
      <c r="C79" s="8"/>
      <c r="D79" s="8" t="s">
        <v>151</v>
      </c>
      <c r="E79" s="8"/>
      <c r="F79" s="8"/>
      <c r="G79" s="8"/>
      <c r="H79" s="8"/>
      <c r="I79" s="8"/>
      <c r="J79" s="8"/>
      <c r="K79" s="75">
        <v>32000.0</v>
      </c>
    </row>
    <row r="80" ht="16.5" customHeight="1">
      <c r="C80" s="8"/>
      <c r="D80" s="8" t="s">
        <v>153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154</v>
      </c>
      <c r="E81" s="8"/>
      <c r="F81" s="8"/>
      <c r="G81" s="8"/>
      <c r="H81" s="8"/>
      <c r="I81" s="8"/>
      <c r="J81" s="8"/>
      <c r="K81" s="75">
        <v>40000.0</v>
      </c>
    </row>
    <row r="82" ht="16.5" customHeight="1">
      <c r="C82" s="8"/>
      <c r="D82" s="8" t="s">
        <v>155</v>
      </c>
      <c r="E82" s="8"/>
      <c r="F82" s="8"/>
      <c r="G82" s="8"/>
      <c r="H82" s="8"/>
      <c r="I82" s="8"/>
      <c r="J82" s="8"/>
      <c r="K82" s="75">
        <v>35000.0</v>
      </c>
    </row>
    <row r="83" ht="16.5" customHeight="1">
      <c r="C83" s="8"/>
      <c r="D83" s="8" t="s">
        <v>156</v>
      </c>
      <c r="E83" s="8"/>
      <c r="F83" s="8"/>
      <c r="G83" s="8"/>
      <c r="H83" s="8"/>
      <c r="I83" s="8"/>
      <c r="J83" s="8"/>
      <c r="K83" s="74"/>
    </row>
    <row r="84" ht="16.5" customHeight="1">
      <c r="C84" s="8"/>
      <c r="D84" s="8" t="s">
        <v>157</v>
      </c>
      <c r="E84" s="8"/>
      <c r="F84" s="8"/>
      <c r="G84" s="8"/>
      <c r="H84" s="8"/>
      <c r="I84" s="8"/>
      <c r="J84" s="8"/>
      <c r="K84" s="74"/>
    </row>
    <row r="85" ht="16.5" customHeight="1">
      <c r="C85" s="8"/>
      <c r="D85" s="8" t="s">
        <v>158</v>
      </c>
      <c r="E85" s="8"/>
      <c r="F85" s="8"/>
      <c r="G85" s="8"/>
      <c r="H85" s="8"/>
      <c r="I85" s="8"/>
      <c r="J85" s="8"/>
      <c r="K85" s="74"/>
    </row>
    <row r="86" ht="16.5" customHeight="1">
      <c r="C86" s="8"/>
      <c r="D86" s="8" t="s">
        <v>159</v>
      </c>
      <c r="E86" s="8"/>
      <c r="F86" s="8"/>
      <c r="G86" s="8"/>
      <c r="H86" s="8"/>
      <c r="I86" s="8"/>
      <c r="J86" s="8"/>
      <c r="K86" s="75">
        <v>35000.0</v>
      </c>
    </row>
    <row r="87" ht="16.5" customHeight="1">
      <c r="C87" s="8"/>
      <c r="D87" s="8" t="s">
        <v>160</v>
      </c>
      <c r="E87" s="8"/>
      <c r="F87" s="8"/>
      <c r="G87" s="8"/>
      <c r="H87" s="8"/>
      <c r="I87" s="8"/>
      <c r="J87" s="8"/>
      <c r="K87" s="75">
        <v>30000.0</v>
      </c>
    </row>
    <row r="88" ht="16.5" customHeight="1">
      <c r="C88" s="8"/>
      <c r="D88" s="8" t="s">
        <v>161</v>
      </c>
      <c r="E88" s="8"/>
      <c r="F88" s="8"/>
      <c r="G88" s="8"/>
      <c r="H88" s="8"/>
      <c r="I88" s="8"/>
      <c r="J88" s="8"/>
      <c r="K88" s="75">
        <v>65000.0</v>
      </c>
    </row>
    <row r="89" ht="16.5" customHeight="1">
      <c r="C89" s="8"/>
      <c r="D89" s="8" t="s">
        <v>163</v>
      </c>
      <c r="E89" s="8"/>
      <c r="F89" s="8"/>
      <c r="G89" s="8"/>
      <c r="H89" s="8"/>
      <c r="I89" s="8"/>
      <c r="J89" s="8"/>
      <c r="K89" s="75">
        <v>33000.0</v>
      </c>
    </row>
    <row r="90" ht="16.5" customHeight="1">
      <c r="C90" s="8"/>
      <c r="D90" s="8" t="s">
        <v>164</v>
      </c>
      <c r="E90" s="8"/>
      <c r="F90" s="8"/>
      <c r="G90" s="8"/>
      <c r="H90" s="8"/>
      <c r="I90" s="8"/>
      <c r="J90" s="8"/>
      <c r="K90" s="75">
        <v>40000.0</v>
      </c>
    </row>
    <row r="91" ht="16.5" customHeight="1">
      <c r="C91" s="8"/>
      <c r="D91" s="8" t="s">
        <v>165</v>
      </c>
      <c r="E91" s="8"/>
      <c r="F91" s="8"/>
      <c r="G91" s="8"/>
      <c r="H91" s="8"/>
      <c r="I91" s="8"/>
      <c r="J91" s="8"/>
      <c r="K91" s="74"/>
    </row>
    <row r="92" ht="16.5" customHeight="1">
      <c r="C92" s="8"/>
      <c r="D92" s="8" t="s">
        <v>166</v>
      </c>
      <c r="E92" s="8"/>
      <c r="F92" s="8"/>
      <c r="G92" s="8"/>
      <c r="H92" s="8"/>
      <c r="I92" s="8"/>
      <c r="J92" s="8"/>
      <c r="K92" s="74"/>
    </row>
    <row r="93" ht="16.5" customHeight="1">
      <c r="C93" s="8"/>
      <c r="D93" s="8" t="s">
        <v>167</v>
      </c>
      <c r="E93" s="8"/>
      <c r="F93" s="8"/>
      <c r="G93" s="8"/>
      <c r="H93" s="8"/>
      <c r="I93" s="8"/>
      <c r="J93" s="8"/>
      <c r="K93" s="74"/>
    </row>
    <row r="94" ht="16.5" customHeight="1">
      <c r="C94" s="8"/>
      <c r="D94" s="8" t="s">
        <v>168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169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170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171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173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174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175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176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177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178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179</v>
      </c>
      <c r="E104" s="8"/>
      <c r="F104" s="8"/>
      <c r="G104" s="8"/>
      <c r="H104" s="8"/>
      <c r="I104" s="8"/>
      <c r="J104" s="8"/>
      <c r="K104" s="74"/>
    </row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C22:F22"/>
    <mergeCell ref="G22:H22"/>
    <mergeCell ref="C23:F23"/>
    <mergeCell ref="G23:H23"/>
    <mergeCell ref="C27:F27"/>
    <mergeCell ref="C28:F28"/>
    <mergeCell ref="G28:H28"/>
    <mergeCell ref="D56:J56"/>
    <mergeCell ref="D57:J57"/>
    <mergeCell ref="D63:G63"/>
    <mergeCell ref="C24:F24"/>
    <mergeCell ref="G24:H24"/>
    <mergeCell ref="C25:F25"/>
    <mergeCell ref="G25:H25"/>
    <mergeCell ref="C26:F26"/>
    <mergeCell ref="G26:H26"/>
    <mergeCell ref="G27:H27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10.43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78" t="s">
        <v>205</v>
      </c>
      <c r="J7" s="9"/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201</v>
      </c>
      <c r="L12" s="23"/>
      <c r="M12" s="24"/>
      <c r="N12" s="5">
        <v>30.0</v>
      </c>
      <c r="O12" s="21"/>
      <c r="P12" s="5" t="s">
        <v>202</v>
      </c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N13" s="5">
        <v>30.0</v>
      </c>
      <c r="O13" s="21"/>
      <c r="P13" s="9" t="s">
        <v>203</v>
      </c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N14" s="5">
        <v>34.0</v>
      </c>
      <c r="O14" s="21"/>
      <c r="P14" s="9" t="s">
        <v>204</v>
      </c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N15" s="5">
        <v>33.0</v>
      </c>
      <c r="O15" s="21"/>
      <c r="P15" s="9" t="s">
        <v>206</v>
      </c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N16" s="5">
        <v>30.0</v>
      </c>
      <c r="O16" s="21"/>
      <c r="P16" s="9" t="s">
        <v>207</v>
      </c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N17" s="5">
        <v>40.0</v>
      </c>
      <c r="O17" s="21"/>
      <c r="P17" s="9" t="s">
        <v>208</v>
      </c>
      <c r="T17" s="25" t="s">
        <v>47</v>
      </c>
    </row>
    <row r="18" ht="16.5" customHeight="1">
      <c r="A18" s="22"/>
      <c r="B18" s="22"/>
      <c r="C18" s="12"/>
      <c r="D18" s="5"/>
      <c r="E18" s="9"/>
      <c r="N18" s="5">
        <v>30.0</v>
      </c>
      <c r="O18" s="21"/>
      <c r="P18" s="5" t="s">
        <v>209</v>
      </c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5">
        <v>34.0</v>
      </c>
      <c r="O19" s="21"/>
      <c r="P19" s="5" t="s">
        <v>210</v>
      </c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N20" s="5">
        <v>26.0</v>
      </c>
      <c r="O20" s="21"/>
      <c r="P20" s="5" t="s">
        <v>211</v>
      </c>
      <c r="T20" s="25" t="s">
        <v>62</v>
      </c>
    </row>
    <row r="21" ht="16.5" customHeight="1">
      <c r="A21" s="38"/>
      <c r="B21" s="39">
        <v>1.0</v>
      </c>
      <c r="C21" s="28" t="s">
        <v>193</v>
      </c>
      <c r="D21" s="29"/>
      <c r="E21" s="29"/>
      <c r="F21" s="30"/>
      <c r="G21" s="42">
        <v>16.0</v>
      </c>
      <c r="H21" s="30"/>
      <c r="I21" s="43">
        <v>70.0</v>
      </c>
      <c r="J21" s="47">
        <f t="shared" ref="J21:J34" si="1">G21*I21</f>
        <v>1120</v>
      </c>
      <c r="N21" s="5">
        <v>45.0</v>
      </c>
      <c r="P21" s="5" t="s">
        <v>212</v>
      </c>
      <c r="T21" s="48" t="s">
        <v>69</v>
      </c>
    </row>
    <row r="22" ht="16.5" customHeight="1">
      <c r="A22" s="38"/>
      <c r="B22" s="39">
        <v>2.0</v>
      </c>
      <c r="C22" s="28" t="s">
        <v>198</v>
      </c>
      <c r="D22" s="29"/>
      <c r="E22" s="29"/>
      <c r="F22" s="30"/>
      <c r="G22" s="42">
        <v>2.0</v>
      </c>
      <c r="H22" s="30"/>
      <c r="I22" s="49">
        <v>54.0</v>
      </c>
      <c r="J22" s="47">
        <f t="shared" si="1"/>
        <v>108</v>
      </c>
      <c r="T22" s="48"/>
    </row>
    <row r="23" ht="16.5" customHeight="1">
      <c r="A23" s="38"/>
      <c r="B23" s="39">
        <v>3.0</v>
      </c>
      <c r="C23" s="28" t="s">
        <v>71</v>
      </c>
      <c r="D23" s="29"/>
      <c r="E23" s="29"/>
      <c r="F23" s="30"/>
      <c r="G23" s="42">
        <v>6.0</v>
      </c>
      <c r="H23" s="30"/>
      <c r="I23" s="49">
        <v>35.0</v>
      </c>
      <c r="J23" s="47">
        <f t="shared" si="1"/>
        <v>210</v>
      </c>
      <c r="T23" s="48"/>
    </row>
    <row r="24" ht="16.5" customHeight="1">
      <c r="A24" s="38"/>
      <c r="B24" s="39">
        <v>4.0</v>
      </c>
      <c r="C24" s="28" t="s">
        <v>84</v>
      </c>
      <c r="D24" s="29"/>
      <c r="E24" s="29"/>
      <c r="F24" s="30"/>
      <c r="G24" s="42">
        <v>15.0</v>
      </c>
      <c r="H24" s="30"/>
      <c r="I24" s="50">
        <v>35.0</v>
      </c>
      <c r="J24" s="47">
        <f t="shared" si="1"/>
        <v>525</v>
      </c>
    </row>
    <row r="25" ht="16.5" customHeight="1">
      <c r="A25" s="38"/>
      <c r="B25" s="39">
        <v>5.0</v>
      </c>
      <c r="C25" s="28" t="s">
        <v>74</v>
      </c>
      <c r="D25" s="29"/>
      <c r="E25" s="29"/>
      <c r="F25" s="30"/>
      <c r="G25" s="42">
        <v>15.0</v>
      </c>
      <c r="H25" s="30"/>
      <c r="I25" s="50">
        <v>39.0</v>
      </c>
      <c r="J25" s="47">
        <f t="shared" si="1"/>
        <v>585</v>
      </c>
    </row>
    <row r="26" ht="16.5" customHeight="1">
      <c r="A26" s="38"/>
      <c r="B26" s="39">
        <v>6.0</v>
      </c>
      <c r="C26" s="28" t="s">
        <v>97</v>
      </c>
      <c r="D26" s="29"/>
      <c r="E26" s="29"/>
      <c r="F26" s="30"/>
      <c r="G26" s="42">
        <v>3.0</v>
      </c>
      <c r="H26" s="30"/>
      <c r="I26" s="50">
        <v>50.0</v>
      </c>
      <c r="J26" s="47">
        <f t="shared" si="1"/>
        <v>150</v>
      </c>
    </row>
    <row r="27" ht="16.5" customHeight="1">
      <c r="A27" s="38"/>
      <c r="B27" s="39">
        <v>7.0</v>
      </c>
      <c r="C27" s="28" t="s">
        <v>78</v>
      </c>
      <c r="D27" s="29"/>
      <c r="E27" s="29"/>
      <c r="F27" s="30"/>
      <c r="G27" s="42">
        <v>11.0</v>
      </c>
      <c r="H27" s="30"/>
      <c r="I27" s="50">
        <v>25.0</v>
      </c>
      <c r="J27" s="47">
        <f t="shared" si="1"/>
        <v>275</v>
      </c>
    </row>
    <row r="28" ht="16.5" customHeight="1">
      <c r="A28" s="38"/>
      <c r="B28" s="39">
        <v>8.0</v>
      </c>
      <c r="C28" s="28" t="s">
        <v>76</v>
      </c>
      <c r="D28" s="29"/>
      <c r="E28" s="29"/>
      <c r="F28" s="30"/>
      <c r="G28" s="42">
        <v>11.0</v>
      </c>
      <c r="H28" s="30"/>
      <c r="I28" s="50">
        <v>25.0</v>
      </c>
      <c r="J28" s="47">
        <f t="shared" si="1"/>
        <v>275</v>
      </c>
    </row>
    <row r="29" ht="16.5" customHeight="1">
      <c r="A29" s="38"/>
      <c r="B29" s="39">
        <v>9.0</v>
      </c>
      <c r="C29" s="28" t="s">
        <v>66</v>
      </c>
      <c r="D29" s="29"/>
      <c r="E29" s="29"/>
      <c r="F29" s="30"/>
      <c r="G29" s="42">
        <v>1.0</v>
      </c>
      <c r="H29" s="30"/>
      <c r="I29" s="50">
        <v>26.0</v>
      </c>
      <c r="J29" s="47">
        <f t="shared" si="1"/>
        <v>26</v>
      </c>
    </row>
    <row r="30" ht="16.5" customHeight="1">
      <c r="A30" s="38"/>
      <c r="B30" s="39">
        <v>10.0</v>
      </c>
      <c r="C30" s="51" t="s">
        <v>199</v>
      </c>
      <c r="D30" s="29"/>
      <c r="E30" s="29"/>
      <c r="F30" s="30"/>
      <c r="G30" s="42">
        <v>4.0</v>
      </c>
      <c r="H30" s="30"/>
      <c r="I30" s="50">
        <v>45.0</v>
      </c>
      <c r="J30" s="47">
        <f t="shared" si="1"/>
        <v>180</v>
      </c>
    </row>
    <row r="31" ht="16.5" customHeight="1">
      <c r="A31" s="38"/>
      <c r="B31" s="39">
        <v>11.0</v>
      </c>
      <c r="C31" s="51" t="s">
        <v>213</v>
      </c>
      <c r="D31" s="29"/>
      <c r="E31" s="29"/>
      <c r="F31" s="30"/>
      <c r="G31" s="42">
        <v>1.0</v>
      </c>
      <c r="H31" s="30"/>
      <c r="I31" s="50">
        <v>100.0</v>
      </c>
      <c r="J31" s="47">
        <f t="shared" si="1"/>
        <v>100</v>
      </c>
    </row>
    <row r="32" ht="16.5" customHeight="1">
      <c r="A32" s="38"/>
      <c r="B32" s="39">
        <v>12.0</v>
      </c>
      <c r="C32" s="51" t="s">
        <v>195</v>
      </c>
      <c r="D32" s="29"/>
      <c r="E32" s="29"/>
      <c r="F32" s="30"/>
      <c r="G32" s="42">
        <v>15.0</v>
      </c>
      <c r="H32" s="30"/>
      <c r="I32" s="50">
        <v>43.0</v>
      </c>
      <c r="J32" s="47">
        <f t="shared" si="1"/>
        <v>645</v>
      </c>
    </row>
    <row r="33" ht="16.5" customHeight="1">
      <c r="A33" s="38"/>
      <c r="B33" s="39">
        <v>13.0</v>
      </c>
      <c r="C33" s="51" t="s">
        <v>191</v>
      </c>
      <c r="D33" s="29"/>
      <c r="E33" s="29"/>
      <c r="F33" s="30"/>
      <c r="G33" s="42">
        <v>20.0</v>
      </c>
      <c r="H33" s="30"/>
      <c r="I33" s="50">
        <v>40.0</v>
      </c>
      <c r="J33" s="47">
        <f t="shared" si="1"/>
        <v>800</v>
      </c>
    </row>
    <row r="34" ht="16.5" customHeight="1">
      <c r="A34" s="38"/>
      <c r="B34" s="39">
        <v>14.0</v>
      </c>
      <c r="C34" s="51" t="s">
        <v>90</v>
      </c>
      <c r="D34" s="29"/>
      <c r="E34" s="29"/>
      <c r="F34" s="30"/>
      <c r="G34" s="42">
        <v>4.0</v>
      </c>
      <c r="H34" s="30"/>
      <c r="I34" s="50">
        <v>120.0</v>
      </c>
      <c r="J34" s="47">
        <f t="shared" si="1"/>
        <v>480</v>
      </c>
    </row>
    <row r="35" ht="16.5" customHeight="1">
      <c r="A35" s="10"/>
      <c r="B35" s="52" t="s">
        <v>93</v>
      </c>
      <c r="C35" s="53"/>
      <c r="D35" s="53"/>
      <c r="E35" s="53"/>
      <c r="F35" s="53"/>
      <c r="G35" s="53">
        <f>SUM(G21:G33)</f>
        <v>120</v>
      </c>
      <c r="H35" s="53"/>
      <c r="I35" s="54" t="s">
        <v>98</v>
      </c>
      <c r="J35" s="55">
        <f>SUM(J21:J34)</f>
        <v>5479</v>
      </c>
    </row>
    <row r="36" ht="28.5" customHeight="1">
      <c r="A36" s="56"/>
      <c r="B36" s="56" t="s">
        <v>102</v>
      </c>
      <c r="C36" s="9"/>
      <c r="D36" s="9"/>
      <c r="E36" s="9"/>
      <c r="F36" s="9"/>
      <c r="G36" s="9"/>
      <c r="H36" s="9"/>
      <c r="I36" s="9"/>
    </row>
    <row r="37" ht="16.5" customHeight="1">
      <c r="A37" s="9"/>
      <c r="B37" s="9"/>
      <c r="F37" s="9"/>
    </row>
    <row r="38" ht="16.5" customHeight="1">
      <c r="A38" s="58"/>
      <c r="B38" s="58" t="s">
        <v>104</v>
      </c>
      <c r="C38" s="9"/>
      <c r="D38" s="9"/>
      <c r="F38" s="9"/>
    </row>
    <row r="39" ht="7.5" customHeight="1">
      <c r="M39" s="10"/>
      <c r="N39" s="10"/>
      <c r="O39" s="9"/>
      <c r="Q39" s="9"/>
    </row>
    <row r="40" ht="16.5" customHeight="1">
      <c r="A40" s="10"/>
      <c r="B40" s="61" t="s">
        <v>105</v>
      </c>
      <c r="C40" s="62"/>
      <c r="D40" s="5" t="s">
        <v>15</v>
      </c>
      <c r="E40" s="9" t="s">
        <v>107</v>
      </c>
      <c r="G40" s="62"/>
      <c r="L40" s="63"/>
      <c r="M40" s="10"/>
      <c r="N40" s="10"/>
      <c r="O40" s="9"/>
      <c r="Q40" s="9"/>
    </row>
    <row r="41" ht="16.5" customHeight="1">
      <c r="A41" s="10"/>
      <c r="B41" s="61" t="s">
        <v>108</v>
      </c>
      <c r="D41" s="5" t="s">
        <v>15</v>
      </c>
      <c r="E41" s="9" t="s">
        <v>107</v>
      </c>
      <c r="M41" s="10"/>
      <c r="N41" s="10"/>
      <c r="O41" s="9"/>
    </row>
    <row r="42" ht="16.5" customHeight="1">
      <c r="E42" s="9" t="s">
        <v>109</v>
      </c>
      <c r="M42" s="10"/>
      <c r="N42" s="10"/>
      <c r="O42" s="9"/>
    </row>
    <row r="43" ht="16.5" customHeight="1">
      <c r="M43" s="10"/>
      <c r="N43" s="62"/>
      <c r="R43" s="62"/>
    </row>
    <row r="44" ht="16.5" customHeight="1">
      <c r="A44" s="62"/>
      <c r="B44" s="62"/>
      <c r="C44" s="62"/>
    </row>
    <row r="45" ht="16.5" customHeight="1"/>
    <row r="46" ht="16.5" customHeight="1">
      <c r="A46" s="9"/>
      <c r="B46" s="9"/>
      <c r="E46" s="9"/>
      <c r="G46" s="62"/>
    </row>
    <row r="47" ht="16.5" customHeight="1">
      <c r="A47" s="9"/>
      <c r="B47" s="9"/>
      <c r="E47" s="9"/>
      <c r="G47" s="62"/>
    </row>
    <row r="48" ht="16.5" customHeight="1"/>
    <row r="49" ht="16.5" customHeight="1"/>
    <row r="50" ht="16.5" customHeight="1">
      <c r="I50" s="23"/>
      <c r="J50" s="66"/>
      <c r="K50" s="66"/>
    </row>
    <row r="51" ht="16.5" customHeight="1">
      <c r="F51" s="68" t="s">
        <v>117</v>
      </c>
      <c r="G51" s="69"/>
      <c r="H51" s="69"/>
      <c r="I51" s="69"/>
      <c r="J51" s="69"/>
    </row>
    <row r="52" ht="16.5" customHeight="1"/>
    <row r="53" ht="16.5" customHeight="1">
      <c r="A53" s="70"/>
      <c r="B53" s="70"/>
    </row>
    <row r="54" ht="16.5" customHeight="1">
      <c r="A54" s="70"/>
      <c r="B54" s="70"/>
    </row>
    <row r="55" ht="16.5" customHeight="1">
      <c r="A55" s="26"/>
      <c r="B55" s="26"/>
    </row>
    <row r="56" ht="16.5" customHeight="1">
      <c r="A56" s="71"/>
      <c r="B56" s="71"/>
    </row>
    <row r="57" ht="16.5" customHeight="1"/>
    <row r="58" ht="16.5" customHeight="1"/>
    <row r="59" ht="16.5" customHeight="1"/>
    <row r="60" ht="16.5" customHeight="1"/>
    <row r="61" ht="16.5" customHeight="1">
      <c r="C61" s="8"/>
      <c r="D61" s="72" t="s">
        <v>124</v>
      </c>
      <c r="E61" s="73"/>
      <c r="F61" s="73"/>
      <c r="G61" s="73"/>
      <c r="H61" s="8"/>
      <c r="I61" s="8"/>
      <c r="J61" s="8"/>
      <c r="K61" s="74"/>
    </row>
    <row r="62" ht="16.5" customHeight="1">
      <c r="C62" s="8"/>
      <c r="D62" s="8" t="s">
        <v>126</v>
      </c>
      <c r="K62" s="75">
        <v>35000.0</v>
      </c>
    </row>
    <row r="63" ht="16.5" customHeight="1">
      <c r="C63" s="8"/>
      <c r="D63" s="8" t="s">
        <v>127</v>
      </c>
      <c r="K63" s="75">
        <v>40000.0</v>
      </c>
    </row>
    <row r="64" ht="16.5" customHeight="1">
      <c r="C64" s="8"/>
      <c r="D64" s="8" t="s">
        <v>128</v>
      </c>
      <c r="E64" s="8"/>
      <c r="F64" s="8"/>
      <c r="G64" s="8"/>
      <c r="H64" s="8"/>
      <c r="I64" s="8"/>
      <c r="J64" s="8"/>
      <c r="K64" s="75">
        <v>65000.0</v>
      </c>
    </row>
    <row r="65" ht="16.5" customHeight="1">
      <c r="C65" s="8"/>
      <c r="D65" s="8" t="s">
        <v>129</v>
      </c>
      <c r="E65" s="8"/>
      <c r="F65" s="8"/>
      <c r="G65" s="8"/>
      <c r="H65" s="8"/>
      <c r="I65" s="8"/>
      <c r="J65" s="8"/>
      <c r="K65" s="75">
        <v>65000.0</v>
      </c>
    </row>
    <row r="66" ht="16.5" customHeight="1">
      <c r="C66" s="8"/>
      <c r="D66" s="8" t="s">
        <v>130</v>
      </c>
      <c r="E66" s="8"/>
      <c r="F66" s="8"/>
      <c r="G66" s="8"/>
      <c r="H66" s="8"/>
      <c r="I66" s="8"/>
      <c r="J66" s="8"/>
      <c r="K66" s="75">
        <v>35000.0</v>
      </c>
    </row>
    <row r="67" ht="16.5" customHeight="1">
      <c r="C67" s="8"/>
      <c r="D67" s="8" t="s">
        <v>131</v>
      </c>
      <c r="E67" s="8"/>
      <c r="F67" s="8"/>
      <c r="G67" s="8"/>
      <c r="H67" s="8"/>
      <c r="I67" s="8"/>
      <c r="J67" s="8"/>
      <c r="K67" s="75">
        <v>37000.0</v>
      </c>
    </row>
    <row r="68" ht="16.5" customHeight="1">
      <c r="C68" s="8"/>
      <c r="D68" s="8" t="s">
        <v>133</v>
      </c>
      <c r="E68" s="8"/>
      <c r="F68" s="8"/>
      <c r="G68" s="8"/>
      <c r="H68" s="8"/>
      <c r="I68" s="8"/>
      <c r="J68" s="8"/>
      <c r="K68" s="75">
        <v>32000.0</v>
      </c>
    </row>
    <row r="69" ht="16.5" customHeight="1">
      <c r="C69" s="8"/>
      <c r="D69" s="8" t="s">
        <v>134</v>
      </c>
      <c r="H69" s="8"/>
      <c r="I69" s="8"/>
      <c r="J69" s="8"/>
      <c r="K69" s="75">
        <v>55000.0</v>
      </c>
    </row>
    <row r="70" ht="16.5" customHeight="1">
      <c r="C70" s="8"/>
      <c r="D70" s="8" t="s">
        <v>135</v>
      </c>
      <c r="E70" s="8"/>
      <c r="F70" s="8"/>
      <c r="G70" s="8"/>
      <c r="H70" s="8"/>
      <c r="I70" s="8"/>
      <c r="J70" s="8"/>
      <c r="K70" s="75">
        <v>60000.0</v>
      </c>
    </row>
    <row r="71" ht="16.5" customHeight="1">
      <c r="C71" s="8"/>
      <c r="D71" s="8" t="s">
        <v>136</v>
      </c>
      <c r="E71" s="8"/>
      <c r="F71" s="8"/>
      <c r="G71" s="8"/>
      <c r="H71" s="8"/>
      <c r="I71" s="8"/>
      <c r="J71" s="8"/>
      <c r="K71" s="75">
        <v>40000.0</v>
      </c>
    </row>
    <row r="72" ht="16.5" customHeight="1">
      <c r="C72" s="8"/>
      <c r="D72" s="8" t="s">
        <v>137</v>
      </c>
      <c r="E72" s="8"/>
      <c r="F72" s="8"/>
      <c r="G72" s="8"/>
      <c r="H72" s="8"/>
      <c r="I72" s="8"/>
      <c r="J72" s="8"/>
      <c r="K72" s="75">
        <v>27000.0</v>
      </c>
    </row>
    <row r="73" ht="16.5" customHeight="1">
      <c r="C73" s="8"/>
      <c r="D73" s="8" t="s">
        <v>138</v>
      </c>
      <c r="E73" s="8"/>
      <c r="F73" s="8"/>
      <c r="G73" s="8"/>
      <c r="H73" s="8"/>
      <c r="I73" s="8"/>
      <c r="J73" s="8"/>
      <c r="K73" s="75">
        <v>32000.0</v>
      </c>
    </row>
    <row r="74" ht="16.5" customHeight="1">
      <c r="C74" s="8"/>
      <c r="D74" s="8" t="s">
        <v>139</v>
      </c>
      <c r="E74" s="8"/>
      <c r="F74" s="8"/>
      <c r="G74" s="8"/>
      <c r="H74" s="8"/>
      <c r="I74" s="8"/>
      <c r="J74" s="8"/>
      <c r="K74" s="75">
        <v>27000.0</v>
      </c>
    </row>
    <row r="75" ht="16.5" customHeight="1">
      <c r="C75" s="8"/>
      <c r="D75" s="8" t="s">
        <v>140</v>
      </c>
      <c r="E75" s="8"/>
      <c r="F75" s="8"/>
      <c r="G75" s="8"/>
      <c r="H75" s="8"/>
      <c r="I75" s="8"/>
      <c r="J75" s="8"/>
      <c r="K75" s="75">
        <v>110000.0</v>
      </c>
    </row>
    <row r="76" ht="16.5" customHeight="1">
      <c r="C76" s="8"/>
      <c r="D76" s="8" t="s">
        <v>142</v>
      </c>
      <c r="E76" s="8"/>
      <c r="F76" s="8"/>
      <c r="G76" s="8"/>
      <c r="H76" s="8"/>
      <c r="I76" s="8"/>
      <c r="J76" s="8"/>
      <c r="K76" s="75">
        <v>30000.0</v>
      </c>
    </row>
    <row r="77" ht="16.5" customHeight="1">
      <c r="C77" s="8"/>
      <c r="D77" s="8" t="s">
        <v>143</v>
      </c>
      <c r="E77" s="8"/>
      <c r="F77" s="8"/>
      <c r="G77" s="8"/>
      <c r="H77" s="8"/>
      <c r="I77" s="8"/>
      <c r="J77" s="8"/>
      <c r="K77" s="75">
        <v>27000.0</v>
      </c>
    </row>
    <row r="78" ht="16.5" customHeight="1">
      <c r="C78" s="8"/>
      <c r="D78" s="8" t="s">
        <v>144</v>
      </c>
      <c r="E78" s="8"/>
      <c r="F78" s="8"/>
      <c r="G78" s="8"/>
      <c r="H78" s="8"/>
      <c r="I78" s="8"/>
      <c r="J78" s="8"/>
      <c r="K78" s="75">
        <v>33000.0</v>
      </c>
    </row>
    <row r="79" ht="16.5" customHeight="1">
      <c r="C79" s="8"/>
      <c r="D79" s="8" t="s">
        <v>145</v>
      </c>
      <c r="E79" s="8"/>
      <c r="F79" s="8"/>
      <c r="G79" s="8"/>
      <c r="H79" s="8"/>
      <c r="I79" s="8"/>
      <c r="J79" s="8"/>
      <c r="K79" s="75">
        <v>35000.0</v>
      </c>
    </row>
    <row r="80" ht="16.5" customHeight="1">
      <c r="C80" s="8"/>
      <c r="D80" s="8" t="s">
        <v>146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147</v>
      </c>
      <c r="E81" s="8"/>
      <c r="F81" s="8"/>
      <c r="G81" s="8"/>
      <c r="H81" s="8"/>
      <c r="I81" s="8"/>
      <c r="J81" s="8"/>
      <c r="K81" s="75">
        <v>33000.0</v>
      </c>
    </row>
    <row r="82" ht="16.5" customHeight="1">
      <c r="C82" s="8"/>
      <c r="D82" s="8" t="s">
        <v>148</v>
      </c>
      <c r="E82" s="8"/>
      <c r="F82" s="8"/>
      <c r="G82" s="8"/>
      <c r="H82" s="8"/>
      <c r="I82" s="8"/>
      <c r="J82" s="8"/>
      <c r="K82" s="75">
        <v>35000.0</v>
      </c>
    </row>
    <row r="83" ht="16.5" customHeight="1">
      <c r="C83" s="8"/>
      <c r="D83" s="8" t="s">
        <v>149</v>
      </c>
      <c r="E83" s="8"/>
      <c r="F83" s="8"/>
      <c r="G83" s="8"/>
      <c r="H83" s="8"/>
      <c r="I83" s="8"/>
      <c r="J83" s="8"/>
      <c r="K83" s="75">
        <v>33000.0</v>
      </c>
    </row>
    <row r="84" ht="16.5" customHeight="1">
      <c r="C84" s="8"/>
      <c r="D84" s="8" t="s">
        <v>150</v>
      </c>
      <c r="E84" s="8"/>
      <c r="F84" s="8"/>
      <c r="G84" s="8"/>
      <c r="H84" s="8"/>
      <c r="I84" s="8"/>
      <c r="J84" s="8"/>
      <c r="K84" s="75">
        <v>33000.0</v>
      </c>
    </row>
    <row r="85" ht="16.5" customHeight="1">
      <c r="C85" s="8"/>
      <c r="D85" s="8" t="s">
        <v>151</v>
      </c>
      <c r="E85" s="8"/>
      <c r="F85" s="8"/>
      <c r="G85" s="8"/>
      <c r="H85" s="8"/>
      <c r="I85" s="8"/>
      <c r="J85" s="8"/>
      <c r="K85" s="75">
        <v>32000.0</v>
      </c>
    </row>
    <row r="86" ht="16.5" customHeight="1">
      <c r="C86" s="8"/>
      <c r="D86" s="8" t="s">
        <v>153</v>
      </c>
      <c r="E86" s="8"/>
      <c r="F86" s="8"/>
      <c r="G86" s="8"/>
      <c r="H86" s="8"/>
      <c r="I86" s="8"/>
      <c r="J86" s="8"/>
      <c r="K86" s="75">
        <v>33000.0</v>
      </c>
    </row>
    <row r="87" ht="16.5" customHeight="1">
      <c r="C87" s="8"/>
      <c r="D87" s="8" t="s">
        <v>154</v>
      </c>
      <c r="E87" s="8"/>
      <c r="F87" s="8"/>
      <c r="G87" s="8"/>
      <c r="H87" s="8"/>
      <c r="I87" s="8"/>
      <c r="J87" s="8"/>
      <c r="K87" s="75">
        <v>40000.0</v>
      </c>
    </row>
    <row r="88" ht="16.5" customHeight="1">
      <c r="C88" s="8"/>
      <c r="D88" s="8" t="s">
        <v>155</v>
      </c>
      <c r="E88" s="8"/>
      <c r="F88" s="8"/>
      <c r="G88" s="8"/>
      <c r="H88" s="8"/>
      <c r="I88" s="8"/>
      <c r="J88" s="8"/>
      <c r="K88" s="75">
        <v>35000.0</v>
      </c>
    </row>
    <row r="89" ht="16.5" customHeight="1">
      <c r="C89" s="8"/>
      <c r="D89" s="8" t="s">
        <v>156</v>
      </c>
      <c r="E89" s="8"/>
      <c r="F89" s="8"/>
      <c r="G89" s="8"/>
      <c r="H89" s="8"/>
      <c r="I89" s="8"/>
      <c r="J89" s="8"/>
      <c r="K89" s="74"/>
    </row>
    <row r="90" ht="16.5" customHeight="1">
      <c r="C90" s="8"/>
      <c r="D90" s="8" t="s">
        <v>157</v>
      </c>
      <c r="E90" s="8"/>
      <c r="F90" s="8"/>
      <c r="G90" s="8"/>
      <c r="H90" s="8"/>
      <c r="I90" s="8"/>
      <c r="J90" s="8"/>
      <c r="K90" s="74"/>
    </row>
    <row r="91" ht="16.5" customHeight="1">
      <c r="C91" s="8"/>
      <c r="D91" s="8" t="s">
        <v>158</v>
      </c>
      <c r="E91" s="8"/>
      <c r="F91" s="8"/>
      <c r="G91" s="8"/>
      <c r="H91" s="8"/>
      <c r="I91" s="8"/>
      <c r="J91" s="8"/>
      <c r="K91" s="74"/>
    </row>
    <row r="92" ht="16.5" customHeight="1">
      <c r="C92" s="8"/>
      <c r="D92" s="8" t="s">
        <v>159</v>
      </c>
      <c r="E92" s="8"/>
      <c r="F92" s="8"/>
      <c r="G92" s="8"/>
      <c r="H92" s="8"/>
      <c r="I92" s="8"/>
      <c r="J92" s="8"/>
      <c r="K92" s="75">
        <v>35000.0</v>
      </c>
    </row>
    <row r="93" ht="16.5" customHeight="1">
      <c r="C93" s="8"/>
      <c r="D93" s="8" t="s">
        <v>160</v>
      </c>
      <c r="E93" s="8"/>
      <c r="F93" s="8"/>
      <c r="G93" s="8"/>
      <c r="H93" s="8"/>
      <c r="I93" s="8"/>
      <c r="J93" s="8"/>
      <c r="K93" s="75">
        <v>30000.0</v>
      </c>
    </row>
    <row r="94" ht="16.5" customHeight="1">
      <c r="C94" s="8"/>
      <c r="D94" s="8" t="s">
        <v>161</v>
      </c>
      <c r="E94" s="8"/>
      <c r="F94" s="8"/>
      <c r="G94" s="8"/>
      <c r="H94" s="8"/>
      <c r="I94" s="8"/>
      <c r="J94" s="8"/>
      <c r="K94" s="75">
        <v>65000.0</v>
      </c>
    </row>
    <row r="95" ht="16.5" customHeight="1">
      <c r="C95" s="8"/>
      <c r="D95" s="8" t="s">
        <v>163</v>
      </c>
      <c r="E95" s="8"/>
      <c r="F95" s="8"/>
      <c r="G95" s="8"/>
      <c r="H95" s="8"/>
      <c r="I95" s="8"/>
      <c r="J95" s="8"/>
      <c r="K95" s="75">
        <v>33000.0</v>
      </c>
    </row>
    <row r="96" ht="16.5" customHeight="1">
      <c r="C96" s="8"/>
      <c r="D96" s="8" t="s">
        <v>164</v>
      </c>
      <c r="E96" s="8"/>
      <c r="F96" s="8"/>
      <c r="G96" s="8"/>
      <c r="H96" s="8"/>
      <c r="I96" s="8"/>
      <c r="J96" s="8"/>
      <c r="K96" s="75">
        <v>40000.0</v>
      </c>
    </row>
    <row r="97" ht="16.5" customHeight="1">
      <c r="C97" s="8"/>
      <c r="D97" s="8" t="s">
        <v>165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166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167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168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169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170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171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173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174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175</v>
      </c>
      <c r="E106" s="8"/>
      <c r="F106" s="8"/>
      <c r="G106" s="8"/>
      <c r="H106" s="8"/>
      <c r="I106" s="8"/>
      <c r="J106" s="8"/>
      <c r="K106" s="74"/>
    </row>
    <row r="107" ht="16.5" customHeight="1">
      <c r="C107" s="8"/>
      <c r="D107" s="8" t="s">
        <v>176</v>
      </c>
      <c r="E107" s="8"/>
      <c r="F107" s="8"/>
      <c r="G107" s="8"/>
      <c r="H107" s="8"/>
      <c r="I107" s="8"/>
      <c r="J107" s="8"/>
      <c r="K107" s="74"/>
    </row>
    <row r="108" ht="16.5" customHeight="1">
      <c r="C108" s="8"/>
      <c r="D108" s="8" t="s">
        <v>177</v>
      </c>
      <c r="E108" s="8"/>
      <c r="F108" s="8"/>
      <c r="G108" s="8"/>
      <c r="H108" s="8"/>
      <c r="I108" s="8"/>
      <c r="J108" s="8"/>
      <c r="K108" s="74"/>
    </row>
    <row r="109" ht="16.5" customHeight="1">
      <c r="C109" s="8"/>
      <c r="D109" s="8" t="s">
        <v>178</v>
      </c>
      <c r="E109" s="8"/>
      <c r="F109" s="8"/>
      <c r="G109" s="8"/>
      <c r="H109" s="8"/>
      <c r="I109" s="8"/>
      <c r="J109" s="8"/>
      <c r="K109" s="74"/>
    </row>
    <row r="110" ht="16.5" customHeight="1">
      <c r="C110" s="8"/>
      <c r="D110" s="8" t="s">
        <v>179</v>
      </c>
      <c r="E110" s="8"/>
      <c r="F110" s="8"/>
      <c r="G110" s="8"/>
      <c r="H110" s="8"/>
      <c r="I110" s="8"/>
      <c r="J110" s="8"/>
      <c r="K110" s="74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C21:F21"/>
    <mergeCell ref="G21:H21"/>
    <mergeCell ref="C22:F22"/>
    <mergeCell ref="G22:H22"/>
    <mergeCell ref="G23:H23"/>
    <mergeCell ref="C23:F23"/>
    <mergeCell ref="C24:F24"/>
    <mergeCell ref="G24:H24"/>
    <mergeCell ref="C25:F25"/>
    <mergeCell ref="G25:H25"/>
    <mergeCell ref="C26:F26"/>
    <mergeCell ref="G26:H26"/>
    <mergeCell ref="C27:F27"/>
    <mergeCell ref="G27:H27"/>
    <mergeCell ref="C28:F28"/>
    <mergeCell ref="G28:H28"/>
    <mergeCell ref="C29:F29"/>
    <mergeCell ref="G29:H29"/>
    <mergeCell ref="G30:H30"/>
    <mergeCell ref="C34:F34"/>
    <mergeCell ref="G34:H34"/>
    <mergeCell ref="D62:J62"/>
    <mergeCell ref="D63:J63"/>
    <mergeCell ref="D69:G69"/>
    <mergeCell ref="C30:F30"/>
    <mergeCell ref="C31:F31"/>
    <mergeCell ref="G31:H31"/>
    <mergeCell ref="C32:F32"/>
    <mergeCell ref="G32:H32"/>
    <mergeCell ref="C33:F33"/>
    <mergeCell ref="G33:H33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8.71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78" t="s">
        <v>214</v>
      </c>
      <c r="J7" s="9"/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215</v>
      </c>
      <c r="L12" s="23"/>
      <c r="M12" s="24"/>
      <c r="N12" s="5">
        <v>30.0</v>
      </c>
      <c r="O12" s="21"/>
      <c r="P12" s="5" t="s">
        <v>202</v>
      </c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N13" s="5">
        <v>30.0</v>
      </c>
      <c r="O13" s="21"/>
      <c r="P13" s="9" t="s">
        <v>203</v>
      </c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N14" s="5">
        <v>34.0</v>
      </c>
      <c r="O14" s="21"/>
      <c r="P14" s="9" t="s">
        <v>204</v>
      </c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N15" s="5">
        <v>33.0</v>
      </c>
      <c r="O15" s="21"/>
      <c r="P15" s="9" t="s">
        <v>206</v>
      </c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N16" s="5">
        <v>30.0</v>
      </c>
      <c r="O16" s="21"/>
      <c r="P16" s="9" t="s">
        <v>207</v>
      </c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N17" s="5">
        <v>40.0</v>
      </c>
      <c r="O17" s="21"/>
      <c r="P17" s="9" t="s">
        <v>208</v>
      </c>
      <c r="T17" s="25" t="s">
        <v>47</v>
      </c>
    </row>
    <row r="18" ht="16.5" customHeight="1">
      <c r="A18" s="22"/>
      <c r="B18" s="22"/>
      <c r="C18" s="12"/>
      <c r="D18" s="5"/>
      <c r="E18" s="9"/>
      <c r="N18" s="5">
        <v>30.0</v>
      </c>
      <c r="O18" s="21"/>
      <c r="P18" s="5" t="s">
        <v>209</v>
      </c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5">
        <v>34.0</v>
      </c>
      <c r="O19" s="21"/>
      <c r="P19" s="5" t="s">
        <v>210</v>
      </c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N20" s="5">
        <v>26.0</v>
      </c>
      <c r="O20" s="21"/>
      <c r="P20" s="5" t="s">
        <v>211</v>
      </c>
      <c r="T20" s="25" t="s">
        <v>62</v>
      </c>
    </row>
    <row r="21" ht="16.5" customHeight="1">
      <c r="A21" s="38"/>
      <c r="B21" s="39">
        <v>1.0</v>
      </c>
      <c r="C21" s="28" t="s">
        <v>97</v>
      </c>
      <c r="D21" s="29"/>
      <c r="E21" s="29"/>
      <c r="F21" s="30"/>
      <c r="G21" s="42">
        <v>4.0</v>
      </c>
      <c r="H21" s="30"/>
      <c r="I21" s="43">
        <v>45.0</v>
      </c>
      <c r="J21" s="47">
        <f t="shared" ref="J21:J30" si="1">G21*I21</f>
        <v>180</v>
      </c>
      <c r="N21" s="5">
        <v>45.0</v>
      </c>
      <c r="P21" s="5" t="s">
        <v>212</v>
      </c>
      <c r="T21" s="48" t="s">
        <v>69</v>
      </c>
    </row>
    <row r="22" ht="16.5" customHeight="1">
      <c r="A22" s="38"/>
      <c r="B22" s="39">
        <v>2.0</v>
      </c>
      <c r="C22" s="28" t="s">
        <v>216</v>
      </c>
      <c r="D22" s="29"/>
      <c r="E22" s="29"/>
      <c r="F22" s="30"/>
      <c r="G22" s="42">
        <v>4.0</v>
      </c>
      <c r="H22" s="30"/>
      <c r="I22" s="49">
        <v>42.0</v>
      </c>
      <c r="J22" s="47">
        <f t="shared" si="1"/>
        <v>168</v>
      </c>
      <c r="T22" s="48"/>
    </row>
    <row r="23" ht="16.5" customHeight="1">
      <c r="A23" s="38"/>
      <c r="B23" s="39">
        <v>3.0</v>
      </c>
      <c r="C23" s="28" t="s">
        <v>193</v>
      </c>
      <c r="D23" s="29"/>
      <c r="E23" s="29"/>
      <c r="F23" s="30"/>
      <c r="G23" s="42">
        <v>5.0</v>
      </c>
      <c r="H23" s="30"/>
      <c r="I23" s="49">
        <v>70.0</v>
      </c>
      <c r="J23" s="47">
        <f t="shared" si="1"/>
        <v>350</v>
      </c>
      <c r="T23" s="48"/>
    </row>
    <row r="24" ht="16.5" customHeight="1">
      <c r="A24" s="38"/>
      <c r="B24" s="39">
        <v>4.0</v>
      </c>
      <c r="C24" s="28" t="s">
        <v>66</v>
      </c>
      <c r="D24" s="29"/>
      <c r="E24" s="29"/>
      <c r="F24" s="30"/>
      <c r="G24" s="42">
        <v>1.0</v>
      </c>
      <c r="H24" s="30"/>
      <c r="I24" s="50">
        <v>26.0</v>
      </c>
      <c r="J24" s="47">
        <f t="shared" si="1"/>
        <v>26</v>
      </c>
    </row>
    <row r="25" ht="16.5" customHeight="1">
      <c r="A25" s="38"/>
      <c r="B25" s="39">
        <v>5.0</v>
      </c>
      <c r="C25" s="28" t="s">
        <v>217</v>
      </c>
      <c r="D25" s="29"/>
      <c r="E25" s="29"/>
      <c r="F25" s="30"/>
      <c r="G25" s="42">
        <v>4.0</v>
      </c>
      <c r="H25" s="30"/>
      <c r="I25" s="50">
        <v>33.0</v>
      </c>
      <c r="J25" s="47">
        <f t="shared" si="1"/>
        <v>132</v>
      </c>
    </row>
    <row r="26" ht="16.5" customHeight="1">
      <c r="A26" s="38"/>
      <c r="B26" s="39">
        <v>6.0</v>
      </c>
      <c r="C26" s="28" t="s">
        <v>218</v>
      </c>
      <c r="D26" s="29"/>
      <c r="E26" s="29"/>
      <c r="F26" s="30"/>
      <c r="G26" s="42">
        <v>4.0</v>
      </c>
      <c r="H26" s="30"/>
      <c r="I26" s="50">
        <v>29.0</v>
      </c>
      <c r="J26" s="47">
        <f t="shared" si="1"/>
        <v>116</v>
      </c>
    </row>
    <row r="27" ht="16.5" customHeight="1">
      <c r="A27" s="38"/>
      <c r="B27" s="39">
        <v>7.0</v>
      </c>
      <c r="C27" s="28" t="s">
        <v>194</v>
      </c>
      <c r="D27" s="29"/>
      <c r="E27" s="29"/>
      <c r="F27" s="30"/>
      <c r="G27" s="42">
        <v>2.0</v>
      </c>
      <c r="H27" s="30"/>
      <c r="I27" s="50">
        <v>22.0</v>
      </c>
      <c r="J27" s="47">
        <f t="shared" si="1"/>
        <v>44</v>
      </c>
    </row>
    <row r="28" ht="16.5" customHeight="1">
      <c r="A28" s="38"/>
      <c r="B28" s="39">
        <v>8.0</v>
      </c>
      <c r="C28" s="28" t="s">
        <v>219</v>
      </c>
      <c r="D28" s="29"/>
      <c r="E28" s="29"/>
      <c r="F28" s="30"/>
      <c r="G28" s="42">
        <v>4.0</v>
      </c>
      <c r="H28" s="30"/>
      <c r="I28" s="50">
        <v>32.0</v>
      </c>
      <c r="J28" s="47">
        <f t="shared" si="1"/>
        <v>128</v>
      </c>
    </row>
    <row r="29" ht="16.5" customHeight="1">
      <c r="A29" s="38"/>
      <c r="B29" s="39">
        <v>9.0</v>
      </c>
      <c r="C29" s="28" t="s">
        <v>71</v>
      </c>
      <c r="D29" s="29"/>
      <c r="E29" s="29"/>
      <c r="F29" s="30"/>
      <c r="G29" s="42">
        <v>2.0</v>
      </c>
      <c r="H29" s="30"/>
      <c r="I29" s="50">
        <v>30.0</v>
      </c>
      <c r="J29" s="47">
        <f t="shared" si="1"/>
        <v>60</v>
      </c>
    </row>
    <row r="30" ht="16.5" customHeight="1">
      <c r="A30" s="38"/>
      <c r="B30" s="39">
        <v>10.0</v>
      </c>
      <c r="C30" s="51" t="s">
        <v>90</v>
      </c>
      <c r="D30" s="29"/>
      <c r="E30" s="29"/>
      <c r="F30" s="30"/>
      <c r="G30" s="42">
        <f>SUM(G21:H29)/30</f>
        <v>1</v>
      </c>
      <c r="H30" s="30"/>
      <c r="I30" s="50">
        <v>120.0</v>
      </c>
      <c r="J30" s="47">
        <f t="shared" si="1"/>
        <v>120</v>
      </c>
    </row>
    <row r="31" ht="16.5" customHeight="1">
      <c r="A31" s="10"/>
      <c r="B31" s="52" t="s">
        <v>93</v>
      </c>
      <c r="C31" s="53"/>
      <c r="D31" s="53"/>
      <c r="E31" s="53"/>
      <c r="F31" s="53"/>
      <c r="G31" s="53">
        <f>SUM(G21:H29)</f>
        <v>30</v>
      </c>
      <c r="H31" s="53"/>
      <c r="I31" s="54" t="s">
        <v>98</v>
      </c>
      <c r="J31" s="55">
        <f>SUM(J21:J30)</f>
        <v>1324</v>
      </c>
    </row>
    <row r="32" ht="28.5" customHeight="1">
      <c r="A32" s="56"/>
      <c r="B32" s="56" t="s">
        <v>102</v>
      </c>
      <c r="C32" s="9"/>
      <c r="D32" s="9"/>
      <c r="E32" s="9"/>
      <c r="F32" s="9"/>
      <c r="G32" s="9"/>
      <c r="H32" s="9"/>
      <c r="I32" s="9"/>
    </row>
    <row r="33" ht="16.5" customHeight="1">
      <c r="A33" s="9"/>
      <c r="B33" s="9"/>
      <c r="F33" s="9"/>
    </row>
    <row r="34" ht="16.5" customHeight="1">
      <c r="A34" s="58"/>
      <c r="B34" s="58" t="s">
        <v>104</v>
      </c>
      <c r="C34" s="9"/>
      <c r="D34" s="9"/>
      <c r="F34" s="9"/>
    </row>
    <row r="35" ht="7.5" customHeight="1">
      <c r="M35" s="10"/>
      <c r="N35" s="10"/>
      <c r="O35" s="9"/>
      <c r="Q35" s="9"/>
    </row>
    <row r="36" ht="16.5" customHeight="1">
      <c r="A36" s="10"/>
      <c r="B36" s="61" t="s">
        <v>105</v>
      </c>
      <c r="C36" s="62"/>
      <c r="D36" s="5" t="s">
        <v>15</v>
      </c>
      <c r="E36" s="9" t="s">
        <v>107</v>
      </c>
      <c r="G36" s="62"/>
      <c r="L36" s="63"/>
      <c r="M36" s="10"/>
      <c r="N36" s="10"/>
      <c r="O36" s="9"/>
      <c r="Q36" s="9"/>
    </row>
    <row r="37" ht="16.5" customHeight="1">
      <c r="A37" s="10"/>
      <c r="B37" s="61" t="s">
        <v>108</v>
      </c>
      <c r="D37" s="5" t="s">
        <v>15</v>
      </c>
      <c r="E37" s="9" t="s">
        <v>107</v>
      </c>
      <c r="M37" s="10"/>
      <c r="N37" s="10"/>
      <c r="O37" s="9"/>
    </row>
    <row r="38" ht="16.5" customHeight="1">
      <c r="E38" s="9" t="s">
        <v>109</v>
      </c>
      <c r="M38" s="10"/>
      <c r="N38" s="10"/>
      <c r="O38" s="9"/>
    </row>
    <row r="39" ht="16.5" customHeight="1">
      <c r="M39" s="10"/>
      <c r="N39" s="62"/>
      <c r="R39" s="62"/>
    </row>
    <row r="40" ht="16.5" customHeight="1">
      <c r="A40" s="62"/>
      <c r="B40" s="62"/>
      <c r="C40" s="62"/>
    </row>
    <row r="41" ht="16.5" customHeight="1"/>
    <row r="42" ht="16.5" customHeight="1">
      <c r="A42" s="9"/>
      <c r="B42" s="9"/>
      <c r="E42" s="9"/>
      <c r="G42" s="62"/>
    </row>
    <row r="43" ht="16.5" customHeight="1">
      <c r="A43" s="9"/>
      <c r="B43" s="9"/>
      <c r="E43" s="9"/>
      <c r="G43" s="62"/>
    </row>
    <row r="44" ht="16.5" customHeight="1"/>
    <row r="45" ht="16.5" customHeight="1"/>
    <row r="46" ht="16.5" customHeight="1">
      <c r="I46" s="23"/>
      <c r="J46" s="66"/>
      <c r="K46" s="66"/>
    </row>
    <row r="47" ht="16.5" customHeight="1">
      <c r="F47" s="68" t="s">
        <v>117</v>
      </c>
      <c r="G47" s="69"/>
      <c r="H47" s="69"/>
      <c r="I47" s="69"/>
      <c r="J47" s="69"/>
    </row>
    <row r="48" ht="16.5" customHeight="1"/>
    <row r="49" ht="16.5" customHeight="1">
      <c r="A49" s="70"/>
      <c r="B49" s="70"/>
    </row>
    <row r="50" ht="16.5" customHeight="1">
      <c r="A50" s="70"/>
      <c r="B50" s="70"/>
    </row>
    <row r="51" ht="16.5" customHeight="1">
      <c r="A51" s="26"/>
      <c r="B51" s="26"/>
    </row>
    <row r="52" ht="16.5" customHeight="1">
      <c r="A52" s="71"/>
      <c r="B52" s="71"/>
    </row>
    <row r="53" ht="16.5" customHeight="1"/>
    <row r="54" ht="16.5" customHeight="1"/>
    <row r="55" ht="16.5" customHeight="1"/>
    <row r="56" ht="16.5" customHeight="1"/>
    <row r="57" ht="16.5" customHeight="1">
      <c r="C57" s="8"/>
      <c r="D57" s="72" t="s">
        <v>124</v>
      </c>
      <c r="E57" s="73"/>
      <c r="F57" s="73"/>
      <c r="G57" s="73"/>
      <c r="H57" s="8"/>
      <c r="I57" s="8"/>
      <c r="J57" s="8"/>
      <c r="K57" s="74"/>
    </row>
    <row r="58" ht="16.5" customHeight="1">
      <c r="C58" s="8"/>
      <c r="D58" s="8" t="s">
        <v>126</v>
      </c>
      <c r="K58" s="75">
        <v>35000.0</v>
      </c>
    </row>
    <row r="59" ht="16.5" customHeight="1">
      <c r="C59" s="8"/>
      <c r="D59" s="8" t="s">
        <v>127</v>
      </c>
      <c r="K59" s="75">
        <v>40000.0</v>
      </c>
    </row>
    <row r="60" ht="16.5" customHeight="1">
      <c r="C60" s="8"/>
      <c r="D60" s="8" t="s">
        <v>128</v>
      </c>
      <c r="E60" s="8"/>
      <c r="F60" s="8"/>
      <c r="G60" s="8"/>
      <c r="H60" s="8"/>
      <c r="I60" s="8"/>
      <c r="J60" s="8"/>
      <c r="K60" s="75">
        <v>65000.0</v>
      </c>
    </row>
    <row r="61" ht="16.5" customHeight="1">
      <c r="C61" s="8"/>
      <c r="D61" s="8" t="s">
        <v>129</v>
      </c>
      <c r="E61" s="8"/>
      <c r="F61" s="8"/>
      <c r="G61" s="8"/>
      <c r="H61" s="8"/>
      <c r="I61" s="8"/>
      <c r="J61" s="8"/>
      <c r="K61" s="75">
        <v>65000.0</v>
      </c>
    </row>
    <row r="62" ht="16.5" customHeight="1">
      <c r="C62" s="8"/>
      <c r="D62" s="8" t="s">
        <v>130</v>
      </c>
      <c r="E62" s="8"/>
      <c r="F62" s="8"/>
      <c r="G62" s="8"/>
      <c r="H62" s="8"/>
      <c r="I62" s="8"/>
      <c r="J62" s="8"/>
      <c r="K62" s="75">
        <v>35000.0</v>
      </c>
    </row>
    <row r="63" ht="16.5" customHeight="1">
      <c r="C63" s="8"/>
      <c r="D63" s="8" t="s">
        <v>131</v>
      </c>
      <c r="E63" s="8"/>
      <c r="F63" s="8"/>
      <c r="G63" s="8"/>
      <c r="H63" s="8"/>
      <c r="I63" s="8"/>
      <c r="J63" s="8"/>
      <c r="K63" s="75">
        <v>37000.0</v>
      </c>
    </row>
    <row r="64" ht="16.5" customHeight="1">
      <c r="C64" s="8"/>
      <c r="D64" s="8" t="s">
        <v>133</v>
      </c>
      <c r="E64" s="8"/>
      <c r="F64" s="8"/>
      <c r="G64" s="8"/>
      <c r="H64" s="8"/>
      <c r="I64" s="8"/>
      <c r="J64" s="8"/>
      <c r="K64" s="75">
        <v>32000.0</v>
      </c>
    </row>
    <row r="65" ht="16.5" customHeight="1">
      <c r="C65" s="8"/>
      <c r="D65" s="8" t="s">
        <v>134</v>
      </c>
      <c r="H65" s="8"/>
      <c r="I65" s="8"/>
      <c r="J65" s="8"/>
      <c r="K65" s="75">
        <v>55000.0</v>
      </c>
    </row>
    <row r="66" ht="16.5" customHeight="1">
      <c r="C66" s="8"/>
      <c r="D66" s="8" t="s">
        <v>135</v>
      </c>
      <c r="E66" s="8"/>
      <c r="F66" s="8"/>
      <c r="G66" s="8"/>
      <c r="H66" s="8"/>
      <c r="I66" s="8"/>
      <c r="J66" s="8"/>
      <c r="K66" s="75">
        <v>60000.0</v>
      </c>
    </row>
    <row r="67" ht="16.5" customHeight="1">
      <c r="C67" s="8"/>
      <c r="D67" s="8" t="s">
        <v>136</v>
      </c>
      <c r="E67" s="8"/>
      <c r="F67" s="8"/>
      <c r="G67" s="8"/>
      <c r="H67" s="8"/>
      <c r="I67" s="8"/>
      <c r="J67" s="8"/>
      <c r="K67" s="75">
        <v>40000.0</v>
      </c>
    </row>
    <row r="68" ht="16.5" customHeight="1">
      <c r="C68" s="8"/>
      <c r="D68" s="8" t="s">
        <v>137</v>
      </c>
      <c r="E68" s="8"/>
      <c r="F68" s="8"/>
      <c r="G68" s="8"/>
      <c r="H68" s="8"/>
      <c r="I68" s="8"/>
      <c r="J68" s="8"/>
      <c r="K68" s="75">
        <v>27000.0</v>
      </c>
    </row>
    <row r="69" ht="16.5" customHeight="1">
      <c r="C69" s="8"/>
      <c r="D69" s="8" t="s">
        <v>138</v>
      </c>
      <c r="E69" s="8"/>
      <c r="F69" s="8"/>
      <c r="G69" s="8"/>
      <c r="H69" s="8"/>
      <c r="I69" s="8"/>
      <c r="J69" s="8"/>
      <c r="K69" s="75">
        <v>32000.0</v>
      </c>
    </row>
    <row r="70" ht="16.5" customHeight="1">
      <c r="C70" s="8"/>
      <c r="D70" s="8" t="s">
        <v>139</v>
      </c>
      <c r="E70" s="8"/>
      <c r="F70" s="8"/>
      <c r="G70" s="8"/>
      <c r="H70" s="8"/>
      <c r="I70" s="8"/>
      <c r="J70" s="8"/>
      <c r="K70" s="75">
        <v>27000.0</v>
      </c>
    </row>
    <row r="71" ht="16.5" customHeight="1">
      <c r="C71" s="8"/>
      <c r="D71" s="8" t="s">
        <v>140</v>
      </c>
      <c r="E71" s="8"/>
      <c r="F71" s="8"/>
      <c r="G71" s="8"/>
      <c r="H71" s="8"/>
      <c r="I71" s="8"/>
      <c r="J71" s="8"/>
      <c r="K71" s="75">
        <v>110000.0</v>
      </c>
    </row>
    <row r="72" ht="16.5" customHeight="1">
      <c r="C72" s="8"/>
      <c r="D72" s="8" t="s">
        <v>142</v>
      </c>
      <c r="E72" s="8"/>
      <c r="F72" s="8"/>
      <c r="G72" s="8"/>
      <c r="H72" s="8"/>
      <c r="I72" s="8"/>
      <c r="J72" s="8"/>
      <c r="K72" s="75">
        <v>30000.0</v>
      </c>
    </row>
    <row r="73" ht="16.5" customHeight="1">
      <c r="C73" s="8"/>
      <c r="D73" s="8" t="s">
        <v>143</v>
      </c>
      <c r="E73" s="8"/>
      <c r="F73" s="8"/>
      <c r="G73" s="8"/>
      <c r="H73" s="8"/>
      <c r="I73" s="8"/>
      <c r="J73" s="8"/>
      <c r="K73" s="75">
        <v>27000.0</v>
      </c>
    </row>
    <row r="74" ht="16.5" customHeight="1">
      <c r="C74" s="8"/>
      <c r="D74" s="8" t="s">
        <v>144</v>
      </c>
      <c r="E74" s="8"/>
      <c r="F74" s="8"/>
      <c r="G74" s="8"/>
      <c r="H74" s="8"/>
      <c r="I74" s="8"/>
      <c r="J74" s="8"/>
      <c r="K74" s="75">
        <v>33000.0</v>
      </c>
    </row>
    <row r="75" ht="16.5" customHeight="1">
      <c r="C75" s="8"/>
      <c r="D75" s="8" t="s">
        <v>145</v>
      </c>
      <c r="E75" s="8"/>
      <c r="F75" s="8"/>
      <c r="G75" s="8"/>
      <c r="H75" s="8"/>
      <c r="I75" s="8"/>
      <c r="J75" s="8"/>
      <c r="K75" s="75">
        <v>35000.0</v>
      </c>
    </row>
    <row r="76" ht="16.5" customHeight="1">
      <c r="C76" s="8"/>
      <c r="D76" s="8" t="s">
        <v>146</v>
      </c>
      <c r="E76" s="8"/>
      <c r="F76" s="8"/>
      <c r="G76" s="8"/>
      <c r="H76" s="8"/>
      <c r="I76" s="8"/>
      <c r="J76" s="8"/>
      <c r="K76" s="75">
        <v>33000.0</v>
      </c>
    </row>
    <row r="77" ht="16.5" customHeight="1">
      <c r="C77" s="8"/>
      <c r="D77" s="8" t="s">
        <v>147</v>
      </c>
      <c r="E77" s="8"/>
      <c r="F77" s="8"/>
      <c r="G77" s="8"/>
      <c r="H77" s="8"/>
      <c r="I77" s="8"/>
      <c r="J77" s="8"/>
      <c r="K77" s="75">
        <v>33000.0</v>
      </c>
    </row>
    <row r="78" ht="16.5" customHeight="1">
      <c r="C78" s="8"/>
      <c r="D78" s="8" t="s">
        <v>148</v>
      </c>
      <c r="E78" s="8"/>
      <c r="F78" s="8"/>
      <c r="G78" s="8"/>
      <c r="H78" s="8"/>
      <c r="I78" s="8"/>
      <c r="J78" s="8"/>
      <c r="K78" s="75">
        <v>35000.0</v>
      </c>
    </row>
    <row r="79" ht="16.5" customHeight="1">
      <c r="C79" s="8"/>
      <c r="D79" s="8" t="s">
        <v>149</v>
      </c>
      <c r="E79" s="8"/>
      <c r="F79" s="8"/>
      <c r="G79" s="8"/>
      <c r="H79" s="8"/>
      <c r="I79" s="8"/>
      <c r="J79" s="8"/>
      <c r="K79" s="75">
        <v>33000.0</v>
      </c>
    </row>
    <row r="80" ht="16.5" customHeight="1">
      <c r="C80" s="8"/>
      <c r="D80" s="8" t="s">
        <v>150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151</v>
      </c>
      <c r="E81" s="8"/>
      <c r="F81" s="8"/>
      <c r="G81" s="8"/>
      <c r="H81" s="8"/>
      <c r="I81" s="8"/>
      <c r="J81" s="8"/>
      <c r="K81" s="75">
        <v>32000.0</v>
      </c>
    </row>
    <row r="82" ht="16.5" customHeight="1">
      <c r="C82" s="8"/>
      <c r="D82" s="8" t="s">
        <v>153</v>
      </c>
      <c r="E82" s="8"/>
      <c r="F82" s="8"/>
      <c r="G82" s="8"/>
      <c r="H82" s="8"/>
      <c r="I82" s="8"/>
      <c r="J82" s="8"/>
      <c r="K82" s="75">
        <v>33000.0</v>
      </c>
    </row>
    <row r="83" ht="16.5" customHeight="1">
      <c r="C83" s="8"/>
      <c r="D83" s="8" t="s">
        <v>154</v>
      </c>
      <c r="E83" s="8"/>
      <c r="F83" s="8"/>
      <c r="G83" s="8"/>
      <c r="H83" s="8"/>
      <c r="I83" s="8"/>
      <c r="J83" s="8"/>
      <c r="K83" s="75">
        <v>40000.0</v>
      </c>
    </row>
    <row r="84" ht="16.5" customHeight="1">
      <c r="C84" s="8"/>
      <c r="D84" s="8" t="s">
        <v>155</v>
      </c>
      <c r="E84" s="8"/>
      <c r="F84" s="8"/>
      <c r="G84" s="8"/>
      <c r="H84" s="8"/>
      <c r="I84" s="8"/>
      <c r="J84" s="8"/>
      <c r="K84" s="75">
        <v>35000.0</v>
      </c>
    </row>
    <row r="85" ht="16.5" customHeight="1">
      <c r="C85" s="8"/>
      <c r="D85" s="8" t="s">
        <v>156</v>
      </c>
      <c r="E85" s="8"/>
      <c r="F85" s="8"/>
      <c r="G85" s="8"/>
      <c r="H85" s="8"/>
      <c r="I85" s="8"/>
      <c r="J85" s="8"/>
      <c r="K85" s="74"/>
    </row>
    <row r="86" ht="16.5" customHeight="1">
      <c r="C86" s="8"/>
      <c r="D86" s="8" t="s">
        <v>157</v>
      </c>
      <c r="E86" s="8"/>
      <c r="F86" s="8"/>
      <c r="G86" s="8"/>
      <c r="H86" s="8"/>
      <c r="I86" s="8"/>
      <c r="J86" s="8"/>
      <c r="K86" s="74"/>
    </row>
    <row r="87" ht="16.5" customHeight="1">
      <c r="C87" s="8"/>
      <c r="D87" s="8" t="s">
        <v>158</v>
      </c>
      <c r="E87" s="8"/>
      <c r="F87" s="8"/>
      <c r="G87" s="8"/>
      <c r="H87" s="8"/>
      <c r="I87" s="8"/>
      <c r="J87" s="8"/>
      <c r="K87" s="74"/>
    </row>
    <row r="88" ht="16.5" customHeight="1">
      <c r="C88" s="8"/>
      <c r="D88" s="8" t="s">
        <v>159</v>
      </c>
      <c r="E88" s="8"/>
      <c r="F88" s="8"/>
      <c r="G88" s="8"/>
      <c r="H88" s="8"/>
      <c r="I88" s="8"/>
      <c r="J88" s="8"/>
      <c r="K88" s="75">
        <v>35000.0</v>
      </c>
    </row>
    <row r="89" ht="16.5" customHeight="1">
      <c r="C89" s="8"/>
      <c r="D89" s="8" t="s">
        <v>160</v>
      </c>
      <c r="E89" s="8"/>
      <c r="F89" s="8"/>
      <c r="G89" s="8"/>
      <c r="H89" s="8"/>
      <c r="I89" s="8"/>
      <c r="J89" s="8"/>
      <c r="K89" s="75">
        <v>30000.0</v>
      </c>
    </row>
    <row r="90" ht="16.5" customHeight="1">
      <c r="C90" s="8"/>
      <c r="D90" s="8" t="s">
        <v>161</v>
      </c>
      <c r="E90" s="8"/>
      <c r="F90" s="8"/>
      <c r="G90" s="8"/>
      <c r="H90" s="8"/>
      <c r="I90" s="8"/>
      <c r="J90" s="8"/>
      <c r="K90" s="75">
        <v>65000.0</v>
      </c>
    </row>
    <row r="91" ht="16.5" customHeight="1">
      <c r="C91" s="8"/>
      <c r="D91" s="8" t="s">
        <v>163</v>
      </c>
      <c r="E91" s="8"/>
      <c r="F91" s="8"/>
      <c r="G91" s="8"/>
      <c r="H91" s="8"/>
      <c r="I91" s="8"/>
      <c r="J91" s="8"/>
      <c r="K91" s="75">
        <v>33000.0</v>
      </c>
    </row>
    <row r="92" ht="16.5" customHeight="1">
      <c r="C92" s="8"/>
      <c r="D92" s="8" t="s">
        <v>164</v>
      </c>
      <c r="E92" s="8"/>
      <c r="F92" s="8"/>
      <c r="G92" s="8"/>
      <c r="H92" s="8"/>
      <c r="I92" s="8"/>
      <c r="J92" s="8"/>
      <c r="K92" s="75">
        <v>40000.0</v>
      </c>
    </row>
    <row r="93" ht="16.5" customHeight="1">
      <c r="C93" s="8"/>
      <c r="D93" s="8" t="s">
        <v>165</v>
      </c>
      <c r="E93" s="8"/>
      <c r="F93" s="8"/>
      <c r="G93" s="8"/>
      <c r="H93" s="8"/>
      <c r="I93" s="8"/>
      <c r="J93" s="8"/>
      <c r="K93" s="74"/>
    </row>
    <row r="94" ht="16.5" customHeight="1">
      <c r="C94" s="8"/>
      <c r="D94" s="8" t="s">
        <v>166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167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168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169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170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171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173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174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175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176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177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178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179</v>
      </c>
      <c r="E106" s="8"/>
      <c r="F106" s="8"/>
      <c r="G106" s="8"/>
      <c r="H106" s="8"/>
      <c r="I106" s="8"/>
      <c r="J106" s="8"/>
      <c r="K106" s="74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4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C21:F21"/>
    <mergeCell ref="G21:H21"/>
    <mergeCell ref="C22:F22"/>
    <mergeCell ref="G22:H22"/>
    <mergeCell ref="G23:H23"/>
    <mergeCell ref="C23:F23"/>
    <mergeCell ref="C24:F24"/>
    <mergeCell ref="G24:H24"/>
    <mergeCell ref="C25:F25"/>
    <mergeCell ref="G25:H25"/>
    <mergeCell ref="C26:F26"/>
    <mergeCell ref="G26:H26"/>
    <mergeCell ref="G30:H30"/>
    <mergeCell ref="D58:J58"/>
    <mergeCell ref="D59:J59"/>
    <mergeCell ref="D65:G65"/>
    <mergeCell ref="C27:F27"/>
    <mergeCell ref="G27:H27"/>
    <mergeCell ref="C28:F28"/>
    <mergeCell ref="G28:H28"/>
    <mergeCell ref="C29:F29"/>
    <mergeCell ref="G29:H29"/>
    <mergeCell ref="C30:F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8.71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78" t="s">
        <v>220</v>
      </c>
      <c r="J7" s="9"/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/>
    </row>
    <row r="12" ht="16.5" customHeight="1">
      <c r="A12" s="22"/>
      <c r="B12" s="22"/>
      <c r="C12" s="12" t="s">
        <v>14</v>
      </c>
      <c r="D12" s="5" t="s">
        <v>15</v>
      </c>
      <c r="E12" s="12" t="s">
        <v>221</v>
      </c>
      <c r="L12" s="23"/>
      <c r="M12" s="24"/>
      <c r="N12" s="5">
        <v>30.0</v>
      </c>
      <c r="O12" s="21"/>
      <c r="P12" s="5" t="s">
        <v>202</v>
      </c>
      <c r="T12" s="25" t="s">
        <v>20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N13" s="5">
        <v>30.0</v>
      </c>
      <c r="O13" s="21"/>
      <c r="P13" s="9" t="s">
        <v>203</v>
      </c>
      <c r="T13" s="25" t="s">
        <v>26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N14" s="5">
        <v>34.0</v>
      </c>
      <c r="O14" s="21"/>
      <c r="P14" s="9" t="s">
        <v>204</v>
      </c>
      <c r="T14" s="28" t="s">
        <v>31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N15" s="5">
        <v>33.0</v>
      </c>
      <c r="O15" s="21"/>
      <c r="P15" s="9" t="s">
        <v>206</v>
      </c>
      <c r="T15" s="25" t="s">
        <v>37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N16" s="5">
        <v>30.0</v>
      </c>
      <c r="O16" s="21"/>
      <c r="P16" s="9" t="s">
        <v>207</v>
      </c>
      <c r="T16" s="25" t="s">
        <v>42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N17" s="5">
        <v>40.0</v>
      </c>
      <c r="O17" s="21"/>
      <c r="P17" s="9" t="s">
        <v>208</v>
      </c>
      <c r="T17" s="25" t="s">
        <v>47</v>
      </c>
    </row>
    <row r="18" ht="16.5" customHeight="1">
      <c r="A18" s="22"/>
      <c r="B18" s="22"/>
      <c r="C18" s="12"/>
      <c r="D18" s="5"/>
      <c r="E18" s="9"/>
      <c r="N18" s="5">
        <v>30.0</v>
      </c>
      <c r="O18" s="21"/>
      <c r="P18" s="5" t="s">
        <v>209</v>
      </c>
      <c r="T18" s="28" t="s">
        <v>50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N19" s="5">
        <v>34.0</v>
      </c>
      <c r="O19" s="21"/>
      <c r="P19" s="5" t="s">
        <v>210</v>
      </c>
      <c r="T19" s="31" t="s">
        <v>54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N20" s="5">
        <v>26.0</v>
      </c>
      <c r="O20" s="21"/>
      <c r="P20" s="5" t="s">
        <v>211</v>
      </c>
      <c r="T20" s="25" t="s">
        <v>62</v>
      </c>
    </row>
    <row r="21" ht="16.5" customHeight="1">
      <c r="A21" s="38"/>
      <c r="B21" s="39">
        <v>1.0</v>
      </c>
      <c r="C21" s="25" t="s">
        <v>20</v>
      </c>
      <c r="D21" s="25"/>
      <c r="E21" s="25"/>
      <c r="F21" s="25"/>
      <c r="G21" s="42">
        <v>3.0</v>
      </c>
      <c r="H21" s="30"/>
      <c r="I21" s="43">
        <v>30.0</v>
      </c>
      <c r="J21" s="47">
        <f t="shared" ref="J21:J31" si="1">G21*I21</f>
        <v>90</v>
      </c>
      <c r="N21" s="5">
        <v>45.0</v>
      </c>
      <c r="P21" s="5" t="s">
        <v>212</v>
      </c>
      <c r="T21" s="48" t="s">
        <v>69</v>
      </c>
    </row>
    <row r="22" ht="16.5" customHeight="1">
      <c r="A22" s="38"/>
      <c r="B22" s="39">
        <v>2.0</v>
      </c>
      <c r="C22" s="25" t="s">
        <v>26</v>
      </c>
      <c r="D22" s="25"/>
      <c r="E22" s="25"/>
      <c r="F22" s="25"/>
      <c r="G22" s="42">
        <v>3.0</v>
      </c>
      <c r="H22" s="30"/>
      <c r="I22" s="49">
        <v>30.0</v>
      </c>
      <c r="J22" s="47">
        <f t="shared" si="1"/>
        <v>90</v>
      </c>
      <c r="T22" s="48"/>
    </row>
    <row r="23" ht="16.5" customHeight="1">
      <c r="A23" s="38"/>
      <c r="B23" s="39">
        <v>3.0</v>
      </c>
      <c r="C23" s="28" t="s">
        <v>31</v>
      </c>
      <c r="D23" s="29"/>
      <c r="E23" s="29"/>
      <c r="F23" s="30"/>
      <c r="G23" s="42">
        <v>4.0</v>
      </c>
      <c r="H23" s="30"/>
      <c r="I23" s="49">
        <v>34.0</v>
      </c>
      <c r="J23" s="47">
        <f t="shared" si="1"/>
        <v>136</v>
      </c>
      <c r="T23" s="48"/>
    </row>
    <row r="24" ht="16.5" customHeight="1">
      <c r="A24" s="38"/>
      <c r="B24" s="39">
        <v>4.0</v>
      </c>
      <c r="C24" s="28" t="s">
        <v>37</v>
      </c>
      <c r="D24" s="29"/>
      <c r="E24" s="29"/>
      <c r="F24" s="30"/>
      <c r="G24" s="42">
        <v>4.0</v>
      </c>
      <c r="H24" s="30"/>
      <c r="I24" s="50">
        <v>33.0</v>
      </c>
      <c r="J24" s="47">
        <f t="shared" si="1"/>
        <v>132</v>
      </c>
    </row>
    <row r="25" ht="16.5" customHeight="1">
      <c r="A25" s="38"/>
      <c r="B25" s="39">
        <v>5.0</v>
      </c>
      <c r="C25" s="28" t="s">
        <v>42</v>
      </c>
      <c r="D25" s="29"/>
      <c r="E25" s="29"/>
      <c r="F25" s="30"/>
      <c r="G25" s="42">
        <v>4.0</v>
      </c>
      <c r="H25" s="30"/>
      <c r="I25" s="50">
        <v>30.0</v>
      </c>
      <c r="J25" s="47">
        <f t="shared" si="1"/>
        <v>120</v>
      </c>
    </row>
    <row r="26" ht="16.5" customHeight="1">
      <c r="A26" s="38"/>
      <c r="B26" s="39">
        <v>6.0</v>
      </c>
      <c r="C26" s="25" t="s">
        <v>47</v>
      </c>
      <c r="D26" s="25"/>
      <c r="E26" s="25"/>
      <c r="F26" s="25"/>
      <c r="G26" s="42">
        <v>3.0</v>
      </c>
      <c r="H26" s="30"/>
      <c r="I26" s="50">
        <v>40.0</v>
      </c>
      <c r="J26" s="47">
        <f t="shared" si="1"/>
        <v>120</v>
      </c>
    </row>
    <row r="27" ht="16.5" customHeight="1">
      <c r="A27" s="38"/>
      <c r="B27" s="39">
        <v>7.0</v>
      </c>
      <c r="C27" s="25" t="s">
        <v>50</v>
      </c>
      <c r="D27" s="25"/>
      <c r="E27" s="25"/>
      <c r="F27" s="25"/>
      <c r="G27" s="42">
        <v>3.0</v>
      </c>
      <c r="H27" s="30"/>
      <c r="I27" s="50">
        <v>30.0</v>
      </c>
      <c r="J27" s="47">
        <f t="shared" si="1"/>
        <v>90</v>
      </c>
    </row>
    <row r="28" ht="16.5" customHeight="1">
      <c r="A28" s="38"/>
      <c r="B28" s="39">
        <v>8.0</v>
      </c>
      <c r="C28" s="31" t="s">
        <v>54</v>
      </c>
      <c r="D28" s="25"/>
      <c r="E28" s="25"/>
      <c r="F28" s="25"/>
      <c r="G28" s="42">
        <v>4.0</v>
      </c>
      <c r="H28" s="30"/>
      <c r="I28" s="50">
        <v>34.0</v>
      </c>
      <c r="J28" s="47">
        <f t="shared" si="1"/>
        <v>136</v>
      </c>
    </row>
    <row r="29" ht="16.5" customHeight="1">
      <c r="A29" s="38"/>
      <c r="B29" s="39">
        <v>9.0</v>
      </c>
      <c r="C29" s="25" t="s">
        <v>62</v>
      </c>
      <c r="D29" s="25"/>
      <c r="E29" s="25"/>
      <c r="F29" s="25"/>
      <c r="G29" s="42">
        <v>1.0</v>
      </c>
      <c r="H29" s="30"/>
      <c r="I29" s="50">
        <v>26.0</v>
      </c>
      <c r="J29" s="47">
        <f t="shared" si="1"/>
        <v>26</v>
      </c>
    </row>
    <row r="30" ht="16.5" customHeight="1">
      <c r="A30" s="38"/>
      <c r="B30" s="39">
        <v>10.0</v>
      </c>
      <c r="C30" s="48" t="s">
        <v>69</v>
      </c>
      <c r="D30" s="48"/>
      <c r="E30" s="48"/>
      <c r="F30" s="48"/>
      <c r="G30" s="42">
        <v>1.0</v>
      </c>
      <c r="H30" s="30"/>
      <c r="I30" s="50">
        <v>45.0</v>
      </c>
      <c r="J30" s="47">
        <f t="shared" si="1"/>
        <v>45</v>
      </c>
    </row>
    <row r="31" ht="16.5" customHeight="1">
      <c r="A31" s="38"/>
      <c r="B31" s="39">
        <v>11.0</v>
      </c>
      <c r="C31" s="51" t="s">
        <v>90</v>
      </c>
      <c r="D31" s="29"/>
      <c r="E31" s="29"/>
      <c r="F31" s="30"/>
      <c r="G31" s="42">
        <f>SUM(G21:H30)/30</f>
        <v>1</v>
      </c>
      <c r="H31" s="30"/>
      <c r="I31" s="50">
        <v>120.0</v>
      </c>
      <c r="J31" s="47">
        <f t="shared" si="1"/>
        <v>120</v>
      </c>
    </row>
    <row r="32" ht="16.5" customHeight="1">
      <c r="A32" s="10"/>
      <c r="B32" s="52" t="s">
        <v>93</v>
      </c>
      <c r="C32" s="53"/>
      <c r="D32" s="53"/>
      <c r="E32" s="53"/>
      <c r="F32" s="53"/>
      <c r="G32" s="53">
        <f>SUM(G21:H30)</f>
        <v>30</v>
      </c>
      <c r="H32" s="53"/>
      <c r="I32" s="54" t="s">
        <v>98</v>
      </c>
      <c r="J32" s="55">
        <f>SUM(J21:J31)</f>
        <v>1105</v>
      </c>
    </row>
    <row r="33" ht="28.5" customHeight="1">
      <c r="A33" s="56"/>
      <c r="B33" s="56" t="s">
        <v>102</v>
      </c>
      <c r="C33" s="9"/>
      <c r="D33" s="9"/>
      <c r="E33" s="9"/>
      <c r="F33" s="9"/>
      <c r="G33" s="9"/>
      <c r="H33" s="9"/>
      <c r="I33" s="9"/>
    </row>
    <row r="34" ht="16.5" customHeight="1">
      <c r="A34" s="9"/>
      <c r="B34" s="9"/>
      <c r="F34" s="9"/>
    </row>
    <row r="35" ht="16.5" customHeight="1">
      <c r="A35" s="58"/>
      <c r="B35" s="58" t="s">
        <v>104</v>
      </c>
      <c r="C35" s="9"/>
      <c r="D35" s="9"/>
      <c r="F35" s="9"/>
    </row>
    <row r="36" ht="7.5" customHeight="1">
      <c r="M36" s="10"/>
      <c r="N36" s="10"/>
      <c r="O36" s="9"/>
      <c r="Q36" s="9"/>
    </row>
    <row r="37" ht="16.5" customHeight="1">
      <c r="A37" s="10"/>
      <c r="B37" s="61" t="s">
        <v>105</v>
      </c>
      <c r="C37" s="62"/>
      <c r="D37" s="5" t="s">
        <v>15</v>
      </c>
      <c r="E37" s="9" t="s">
        <v>107</v>
      </c>
      <c r="G37" s="62"/>
      <c r="L37" s="63"/>
      <c r="M37" s="10"/>
      <c r="N37" s="10"/>
      <c r="O37" s="9"/>
      <c r="Q37" s="9"/>
    </row>
    <row r="38" ht="16.5" customHeight="1">
      <c r="A38" s="10"/>
      <c r="B38" s="61" t="s">
        <v>108</v>
      </c>
      <c r="D38" s="5" t="s">
        <v>15</v>
      </c>
      <c r="E38" s="9" t="s">
        <v>107</v>
      </c>
      <c r="M38" s="10"/>
      <c r="N38" s="10"/>
      <c r="O38" s="9"/>
    </row>
    <row r="39" ht="16.5" customHeight="1">
      <c r="E39" s="9" t="s">
        <v>109</v>
      </c>
      <c r="M39" s="10"/>
      <c r="N39" s="10"/>
      <c r="O39" s="9"/>
    </row>
    <row r="40" ht="16.5" customHeight="1">
      <c r="M40" s="10"/>
      <c r="N40" s="62"/>
      <c r="R40" s="62"/>
    </row>
    <row r="41" ht="16.5" customHeight="1">
      <c r="A41" s="62"/>
      <c r="B41" s="62"/>
      <c r="C41" s="62"/>
    </row>
    <row r="42" ht="16.5" customHeight="1"/>
    <row r="43" ht="16.5" customHeight="1">
      <c r="A43" s="9"/>
      <c r="B43" s="9"/>
      <c r="E43" s="9"/>
      <c r="G43" s="62"/>
    </row>
    <row r="44" ht="16.5" customHeight="1">
      <c r="A44" s="9"/>
      <c r="B44" s="9"/>
      <c r="E44" s="9"/>
      <c r="G44" s="62"/>
    </row>
    <row r="45" ht="16.5" customHeight="1"/>
    <row r="46" ht="16.5" customHeight="1"/>
    <row r="47" ht="16.5" customHeight="1">
      <c r="I47" s="23"/>
      <c r="J47" s="66"/>
      <c r="K47" s="66"/>
    </row>
    <row r="48" ht="16.5" customHeight="1">
      <c r="F48" s="68" t="s">
        <v>117</v>
      </c>
      <c r="G48" s="69"/>
      <c r="H48" s="69"/>
      <c r="I48" s="69"/>
      <c r="J48" s="69"/>
    </row>
    <row r="49" ht="16.5" customHeight="1"/>
    <row r="50" ht="16.5" customHeight="1">
      <c r="A50" s="70"/>
      <c r="B50" s="70"/>
    </row>
    <row r="51" ht="16.5" customHeight="1">
      <c r="A51" s="70"/>
      <c r="B51" s="70"/>
    </row>
    <row r="52" ht="16.5" customHeight="1">
      <c r="A52" s="26"/>
      <c r="B52" s="26"/>
    </row>
    <row r="53" ht="16.5" customHeight="1">
      <c r="A53" s="71"/>
      <c r="B53" s="71"/>
    </row>
    <row r="54" ht="16.5" customHeight="1"/>
    <row r="55" ht="16.5" customHeight="1"/>
    <row r="56" ht="16.5" customHeight="1"/>
    <row r="57" ht="16.5" customHeight="1"/>
    <row r="58" ht="16.5" customHeight="1">
      <c r="C58" s="8"/>
      <c r="D58" s="72" t="s">
        <v>124</v>
      </c>
      <c r="E58" s="73"/>
      <c r="F58" s="73"/>
      <c r="G58" s="73"/>
      <c r="H58" s="8"/>
      <c r="I58" s="8"/>
      <c r="J58" s="8"/>
      <c r="K58" s="74"/>
    </row>
    <row r="59" ht="16.5" customHeight="1">
      <c r="C59" s="8"/>
      <c r="D59" s="8" t="s">
        <v>126</v>
      </c>
      <c r="K59" s="75">
        <v>35000.0</v>
      </c>
    </row>
    <row r="60" ht="16.5" customHeight="1">
      <c r="C60" s="8"/>
      <c r="D60" s="8" t="s">
        <v>127</v>
      </c>
      <c r="K60" s="75">
        <v>40000.0</v>
      </c>
    </row>
    <row r="61" ht="16.5" customHeight="1">
      <c r="C61" s="8"/>
      <c r="D61" s="8" t="s">
        <v>128</v>
      </c>
      <c r="E61" s="8"/>
      <c r="F61" s="8"/>
      <c r="G61" s="8"/>
      <c r="H61" s="8"/>
      <c r="I61" s="8"/>
      <c r="J61" s="8"/>
      <c r="K61" s="75">
        <v>65000.0</v>
      </c>
    </row>
    <row r="62" ht="16.5" customHeight="1">
      <c r="C62" s="8"/>
      <c r="D62" s="8" t="s">
        <v>129</v>
      </c>
      <c r="E62" s="8"/>
      <c r="F62" s="8"/>
      <c r="G62" s="8"/>
      <c r="H62" s="8"/>
      <c r="I62" s="8"/>
      <c r="J62" s="8"/>
      <c r="K62" s="75">
        <v>65000.0</v>
      </c>
    </row>
    <row r="63" ht="16.5" customHeight="1">
      <c r="C63" s="8"/>
      <c r="D63" s="8" t="s">
        <v>130</v>
      </c>
      <c r="E63" s="8"/>
      <c r="F63" s="8"/>
      <c r="G63" s="8"/>
      <c r="H63" s="8"/>
      <c r="I63" s="8"/>
      <c r="J63" s="8"/>
      <c r="K63" s="75">
        <v>35000.0</v>
      </c>
    </row>
    <row r="64" ht="16.5" customHeight="1">
      <c r="C64" s="8"/>
      <c r="D64" s="8" t="s">
        <v>131</v>
      </c>
      <c r="E64" s="8"/>
      <c r="F64" s="8"/>
      <c r="G64" s="8"/>
      <c r="H64" s="8"/>
      <c r="I64" s="8"/>
      <c r="J64" s="8"/>
      <c r="K64" s="75">
        <v>37000.0</v>
      </c>
    </row>
    <row r="65" ht="16.5" customHeight="1">
      <c r="C65" s="8"/>
      <c r="D65" s="8" t="s">
        <v>133</v>
      </c>
      <c r="E65" s="8"/>
      <c r="F65" s="8"/>
      <c r="G65" s="8"/>
      <c r="H65" s="8"/>
      <c r="I65" s="8"/>
      <c r="J65" s="8"/>
      <c r="K65" s="75">
        <v>32000.0</v>
      </c>
    </row>
    <row r="66" ht="16.5" customHeight="1">
      <c r="C66" s="8"/>
      <c r="D66" s="8" t="s">
        <v>134</v>
      </c>
      <c r="H66" s="8"/>
      <c r="I66" s="8"/>
      <c r="J66" s="8"/>
      <c r="K66" s="75">
        <v>55000.0</v>
      </c>
    </row>
    <row r="67" ht="16.5" customHeight="1">
      <c r="C67" s="8"/>
      <c r="D67" s="8" t="s">
        <v>135</v>
      </c>
      <c r="E67" s="8"/>
      <c r="F67" s="8"/>
      <c r="G67" s="8"/>
      <c r="H67" s="8"/>
      <c r="I67" s="8"/>
      <c r="J67" s="8"/>
      <c r="K67" s="75">
        <v>60000.0</v>
      </c>
    </row>
    <row r="68" ht="16.5" customHeight="1">
      <c r="C68" s="8"/>
      <c r="D68" s="8" t="s">
        <v>136</v>
      </c>
      <c r="E68" s="8"/>
      <c r="F68" s="8"/>
      <c r="G68" s="8"/>
      <c r="H68" s="8"/>
      <c r="I68" s="8"/>
      <c r="J68" s="8"/>
      <c r="K68" s="75">
        <v>40000.0</v>
      </c>
    </row>
    <row r="69" ht="16.5" customHeight="1">
      <c r="C69" s="8"/>
      <c r="D69" s="8" t="s">
        <v>137</v>
      </c>
      <c r="E69" s="8"/>
      <c r="F69" s="8"/>
      <c r="G69" s="8"/>
      <c r="H69" s="8"/>
      <c r="I69" s="8"/>
      <c r="J69" s="8"/>
      <c r="K69" s="75">
        <v>27000.0</v>
      </c>
    </row>
    <row r="70" ht="16.5" customHeight="1">
      <c r="C70" s="8"/>
      <c r="D70" s="8" t="s">
        <v>138</v>
      </c>
      <c r="E70" s="8"/>
      <c r="F70" s="8"/>
      <c r="G70" s="8"/>
      <c r="H70" s="8"/>
      <c r="I70" s="8"/>
      <c r="J70" s="8"/>
      <c r="K70" s="75">
        <v>32000.0</v>
      </c>
    </row>
    <row r="71" ht="16.5" customHeight="1">
      <c r="C71" s="8"/>
      <c r="D71" s="8" t="s">
        <v>139</v>
      </c>
      <c r="E71" s="8"/>
      <c r="F71" s="8"/>
      <c r="G71" s="8"/>
      <c r="H71" s="8"/>
      <c r="I71" s="8"/>
      <c r="J71" s="8"/>
      <c r="K71" s="75">
        <v>27000.0</v>
      </c>
    </row>
    <row r="72" ht="16.5" customHeight="1">
      <c r="C72" s="8"/>
      <c r="D72" s="8" t="s">
        <v>140</v>
      </c>
      <c r="E72" s="8"/>
      <c r="F72" s="8"/>
      <c r="G72" s="8"/>
      <c r="H72" s="8"/>
      <c r="I72" s="8"/>
      <c r="J72" s="8"/>
      <c r="K72" s="75">
        <v>110000.0</v>
      </c>
    </row>
    <row r="73" ht="16.5" customHeight="1">
      <c r="C73" s="8"/>
      <c r="D73" s="8" t="s">
        <v>142</v>
      </c>
      <c r="E73" s="8"/>
      <c r="F73" s="8"/>
      <c r="G73" s="8"/>
      <c r="H73" s="8"/>
      <c r="I73" s="8"/>
      <c r="J73" s="8"/>
      <c r="K73" s="75">
        <v>30000.0</v>
      </c>
    </row>
    <row r="74" ht="16.5" customHeight="1">
      <c r="C74" s="8"/>
      <c r="D74" s="8" t="s">
        <v>143</v>
      </c>
      <c r="E74" s="8"/>
      <c r="F74" s="8"/>
      <c r="G74" s="8"/>
      <c r="H74" s="8"/>
      <c r="I74" s="8"/>
      <c r="J74" s="8"/>
      <c r="K74" s="75">
        <v>27000.0</v>
      </c>
    </row>
    <row r="75" ht="16.5" customHeight="1">
      <c r="C75" s="8"/>
      <c r="D75" s="8" t="s">
        <v>144</v>
      </c>
      <c r="E75" s="8"/>
      <c r="F75" s="8"/>
      <c r="G75" s="8"/>
      <c r="H75" s="8"/>
      <c r="I75" s="8"/>
      <c r="J75" s="8"/>
      <c r="K75" s="75">
        <v>33000.0</v>
      </c>
    </row>
    <row r="76" ht="16.5" customHeight="1">
      <c r="C76" s="8"/>
      <c r="D76" s="8" t="s">
        <v>145</v>
      </c>
      <c r="E76" s="8"/>
      <c r="F76" s="8"/>
      <c r="G76" s="8"/>
      <c r="H76" s="8"/>
      <c r="I76" s="8"/>
      <c r="J76" s="8"/>
      <c r="K76" s="75">
        <v>35000.0</v>
      </c>
    </row>
    <row r="77" ht="16.5" customHeight="1">
      <c r="C77" s="8"/>
      <c r="D77" s="8" t="s">
        <v>146</v>
      </c>
      <c r="E77" s="8"/>
      <c r="F77" s="8"/>
      <c r="G77" s="8"/>
      <c r="H77" s="8"/>
      <c r="I77" s="8"/>
      <c r="J77" s="8"/>
      <c r="K77" s="75">
        <v>33000.0</v>
      </c>
    </row>
    <row r="78" ht="16.5" customHeight="1">
      <c r="C78" s="8"/>
      <c r="D78" s="8" t="s">
        <v>147</v>
      </c>
      <c r="E78" s="8"/>
      <c r="F78" s="8"/>
      <c r="G78" s="8"/>
      <c r="H78" s="8"/>
      <c r="I78" s="8"/>
      <c r="J78" s="8"/>
      <c r="K78" s="75">
        <v>33000.0</v>
      </c>
    </row>
    <row r="79" ht="16.5" customHeight="1">
      <c r="C79" s="8"/>
      <c r="D79" s="8" t="s">
        <v>148</v>
      </c>
      <c r="E79" s="8"/>
      <c r="F79" s="8"/>
      <c r="G79" s="8"/>
      <c r="H79" s="8"/>
      <c r="I79" s="8"/>
      <c r="J79" s="8"/>
      <c r="K79" s="75">
        <v>35000.0</v>
      </c>
    </row>
    <row r="80" ht="16.5" customHeight="1">
      <c r="C80" s="8"/>
      <c r="D80" s="8" t="s">
        <v>149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150</v>
      </c>
      <c r="E81" s="8"/>
      <c r="F81" s="8"/>
      <c r="G81" s="8"/>
      <c r="H81" s="8"/>
      <c r="I81" s="8"/>
      <c r="J81" s="8"/>
      <c r="K81" s="75">
        <v>33000.0</v>
      </c>
    </row>
    <row r="82" ht="16.5" customHeight="1">
      <c r="C82" s="8"/>
      <c r="D82" s="8" t="s">
        <v>151</v>
      </c>
      <c r="E82" s="8"/>
      <c r="F82" s="8"/>
      <c r="G82" s="8"/>
      <c r="H82" s="8"/>
      <c r="I82" s="8"/>
      <c r="J82" s="8"/>
      <c r="K82" s="75">
        <v>32000.0</v>
      </c>
    </row>
    <row r="83" ht="16.5" customHeight="1">
      <c r="C83" s="8"/>
      <c r="D83" s="8" t="s">
        <v>153</v>
      </c>
      <c r="E83" s="8"/>
      <c r="F83" s="8"/>
      <c r="G83" s="8"/>
      <c r="H83" s="8"/>
      <c r="I83" s="8"/>
      <c r="J83" s="8"/>
      <c r="K83" s="75">
        <v>33000.0</v>
      </c>
    </row>
    <row r="84" ht="16.5" customHeight="1">
      <c r="C84" s="8"/>
      <c r="D84" s="8" t="s">
        <v>154</v>
      </c>
      <c r="E84" s="8"/>
      <c r="F84" s="8"/>
      <c r="G84" s="8"/>
      <c r="H84" s="8"/>
      <c r="I84" s="8"/>
      <c r="J84" s="8"/>
      <c r="K84" s="75">
        <v>40000.0</v>
      </c>
    </row>
    <row r="85" ht="16.5" customHeight="1">
      <c r="C85" s="8"/>
      <c r="D85" s="8" t="s">
        <v>155</v>
      </c>
      <c r="E85" s="8"/>
      <c r="F85" s="8"/>
      <c r="G85" s="8"/>
      <c r="H85" s="8"/>
      <c r="I85" s="8"/>
      <c r="J85" s="8"/>
      <c r="K85" s="75">
        <v>35000.0</v>
      </c>
    </row>
    <row r="86" ht="16.5" customHeight="1">
      <c r="C86" s="8"/>
      <c r="D86" s="8" t="s">
        <v>156</v>
      </c>
      <c r="E86" s="8"/>
      <c r="F86" s="8"/>
      <c r="G86" s="8"/>
      <c r="H86" s="8"/>
      <c r="I86" s="8"/>
      <c r="J86" s="8"/>
      <c r="K86" s="74"/>
    </row>
    <row r="87" ht="16.5" customHeight="1">
      <c r="C87" s="8"/>
      <c r="D87" s="8" t="s">
        <v>157</v>
      </c>
      <c r="E87" s="8"/>
      <c r="F87" s="8"/>
      <c r="G87" s="8"/>
      <c r="H87" s="8"/>
      <c r="I87" s="8"/>
      <c r="J87" s="8"/>
      <c r="K87" s="74"/>
    </row>
    <row r="88" ht="16.5" customHeight="1">
      <c r="C88" s="8"/>
      <c r="D88" s="8" t="s">
        <v>158</v>
      </c>
      <c r="E88" s="8"/>
      <c r="F88" s="8"/>
      <c r="G88" s="8"/>
      <c r="H88" s="8"/>
      <c r="I88" s="8"/>
      <c r="J88" s="8"/>
      <c r="K88" s="74"/>
    </row>
    <row r="89" ht="16.5" customHeight="1">
      <c r="C89" s="8"/>
      <c r="D89" s="8" t="s">
        <v>159</v>
      </c>
      <c r="E89" s="8"/>
      <c r="F89" s="8"/>
      <c r="G89" s="8"/>
      <c r="H89" s="8"/>
      <c r="I89" s="8"/>
      <c r="J89" s="8"/>
      <c r="K89" s="75">
        <v>35000.0</v>
      </c>
    </row>
    <row r="90" ht="16.5" customHeight="1">
      <c r="C90" s="8"/>
      <c r="D90" s="8" t="s">
        <v>160</v>
      </c>
      <c r="E90" s="8"/>
      <c r="F90" s="8"/>
      <c r="G90" s="8"/>
      <c r="H90" s="8"/>
      <c r="I90" s="8"/>
      <c r="J90" s="8"/>
      <c r="K90" s="75">
        <v>30000.0</v>
      </c>
    </row>
    <row r="91" ht="16.5" customHeight="1">
      <c r="C91" s="8"/>
      <c r="D91" s="8" t="s">
        <v>161</v>
      </c>
      <c r="E91" s="8"/>
      <c r="F91" s="8"/>
      <c r="G91" s="8"/>
      <c r="H91" s="8"/>
      <c r="I91" s="8"/>
      <c r="J91" s="8"/>
      <c r="K91" s="75">
        <v>65000.0</v>
      </c>
    </row>
    <row r="92" ht="16.5" customHeight="1">
      <c r="C92" s="8"/>
      <c r="D92" s="8" t="s">
        <v>163</v>
      </c>
      <c r="E92" s="8"/>
      <c r="F92" s="8"/>
      <c r="G92" s="8"/>
      <c r="H92" s="8"/>
      <c r="I92" s="8"/>
      <c r="J92" s="8"/>
      <c r="K92" s="75">
        <v>33000.0</v>
      </c>
    </row>
    <row r="93" ht="16.5" customHeight="1">
      <c r="C93" s="8"/>
      <c r="D93" s="8" t="s">
        <v>164</v>
      </c>
      <c r="E93" s="8"/>
      <c r="F93" s="8"/>
      <c r="G93" s="8"/>
      <c r="H93" s="8"/>
      <c r="I93" s="8"/>
      <c r="J93" s="8"/>
      <c r="K93" s="75">
        <v>40000.0</v>
      </c>
    </row>
    <row r="94" ht="16.5" customHeight="1">
      <c r="C94" s="8"/>
      <c r="D94" s="8" t="s">
        <v>165</v>
      </c>
      <c r="E94" s="8"/>
      <c r="F94" s="8"/>
      <c r="G94" s="8"/>
      <c r="H94" s="8"/>
      <c r="I94" s="8"/>
      <c r="J94" s="8"/>
      <c r="K94" s="74"/>
    </row>
    <row r="95" ht="16.5" customHeight="1">
      <c r="C95" s="8"/>
      <c r="D95" s="8" t="s">
        <v>166</v>
      </c>
      <c r="E95" s="8"/>
      <c r="F95" s="8"/>
      <c r="G95" s="8"/>
      <c r="H95" s="8"/>
      <c r="I95" s="8"/>
      <c r="J95" s="8"/>
      <c r="K95" s="74"/>
    </row>
    <row r="96" ht="16.5" customHeight="1">
      <c r="C96" s="8"/>
      <c r="D96" s="8" t="s">
        <v>167</v>
      </c>
      <c r="E96" s="8"/>
      <c r="F96" s="8"/>
      <c r="G96" s="8"/>
      <c r="H96" s="8"/>
      <c r="I96" s="8"/>
      <c r="J96" s="8"/>
      <c r="K96" s="74"/>
    </row>
    <row r="97" ht="16.5" customHeight="1">
      <c r="C97" s="8"/>
      <c r="D97" s="8" t="s">
        <v>168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169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170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171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173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174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175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176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177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178</v>
      </c>
      <c r="E106" s="8"/>
      <c r="F106" s="8"/>
      <c r="G106" s="8"/>
      <c r="H106" s="8"/>
      <c r="I106" s="8"/>
      <c r="J106" s="8"/>
      <c r="K106" s="74"/>
    </row>
    <row r="107" ht="16.5" customHeight="1">
      <c r="C107" s="8"/>
      <c r="D107" s="8" t="s">
        <v>179</v>
      </c>
      <c r="E107" s="8"/>
      <c r="F107" s="8"/>
      <c r="G107" s="8"/>
      <c r="H107" s="8"/>
      <c r="I107" s="8"/>
      <c r="J107" s="8"/>
      <c r="K107" s="74"/>
    </row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G22:H22"/>
    <mergeCell ref="C23:F23"/>
    <mergeCell ref="G23:H23"/>
    <mergeCell ref="G24:H24"/>
    <mergeCell ref="G30:H30"/>
    <mergeCell ref="C31:F31"/>
    <mergeCell ref="G31:H31"/>
    <mergeCell ref="D59:J59"/>
    <mergeCell ref="D60:J60"/>
    <mergeCell ref="D66:G66"/>
    <mergeCell ref="C24:F24"/>
    <mergeCell ref="C25:F25"/>
    <mergeCell ref="G25:H25"/>
    <mergeCell ref="G26:H26"/>
    <mergeCell ref="G27:H27"/>
    <mergeCell ref="G28:H28"/>
    <mergeCell ref="G29:H29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29"/>
    <col customWidth="1" min="2" max="2" width="5.43"/>
    <col customWidth="1" min="3" max="3" width="14.57"/>
    <col customWidth="1" min="4" max="4" width="1.29"/>
    <col customWidth="1" min="5" max="5" width="26.71"/>
    <col customWidth="1" min="6" max="6" width="24.57"/>
    <col customWidth="1" min="7" max="7" width="8.71"/>
    <col customWidth="1" min="8" max="8" width="1.29"/>
    <col customWidth="1" min="9" max="9" width="12.43"/>
    <col customWidth="1" min="10" max="10" width="19.14"/>
    <col customWidth="1" min="11" max="11" width="8.71"/>
    <col customWidth="1" min="12" max="12" width="27.43"/>
    <col customWidth="1" min="13" max="13" width="12.29"/>
    <col customWidth="1" min="14" max="27" width="8.71"/>
  </cols>
  <sheetData>
    <row r="1" ht="59.25" customHeight="1">
      <c r="A1" s="1"/>
      <c r="B1" s="1" t="s">
        <v>0</v>
      </c>
    </row>
    <row r="2" ht="37.5" customHeight="1">
      <c r="A2" s="2"/>
      <c r="B2" s="2" t="s">
        <v>1</v>
      </c>
    </row>
    <row r="3" ht="16.5" customHeight="1">
      <c r="A3" s="3"/>
      <c r="B3" s="3" t="s">
        <v>2</v>
      </c>
    </row>
    <row r="4" ht="26.25" customHeight="1">
      <c r="A4" s="4"/>
      <c r="B4" s="4" t="s">
        <v>3</v>
      </c>
      <c r="O4" s="5" t="s">
        <v>4</v>
      </c>
    </row>
    <row r="5" ht="17.25" customHeight="1">
      <c r="A5" s="4"/>
      <c r="O5" s="6"/>
    </row>
    <row r="6" ht="16.5" customHeight="1">
      <c r="A6" s="7"/>
      <c r="B6" s="7" t="s">
        <v>5</v>
      </c>
      <c r="D6" s="8"/>
      <c r="E6" s="8"/>
      <c r="F6" s="8"/>
      <c r="G6" s="8"/>
      <c r="H6" s="9"/>
      <c r="I6" s="9"/>
      <c r="J6" s="9"/>
      <c r="K6" s="9"/>
      <c r="M6" s="5"/>
    </row>
    <row r="7" ht="16.5" customHeight="1">
      <c r="A7" s="9"/>
      <c r="B7" s="9" t="s">
        <v>6</v>
      </c>
      <c r="C7" s="9"/>
      <c r="D7" s="9"/>
      <c r="E7" s="10"/>
      <c r="F7" s="9"/>
      <c r="G7" s="9"/>
      <c r="H7" s="9"/>
      <c r="I7" s="78" t="s">
        <v>222</v>
      </c>
      <c r="J7" s="9"/>
      <c r="K7" s="9"/>
      <c r="M7" s="5"/>
    </row>
    <row r="8" ht="16.5" customHeight="1">
      <c r="A8" s="12"/>
      <c r="B8" s="12" t="s">
        <v>10</v>
      </c>
      <c r="F8" s="9"/>
      <c r="G8" s="9"/>
      <c r="H8" s="9"/>
      <c r="I8" s="9"/>
      <c r="J8" s="9"/>
      <c r="K8" s="9"/>
      <c r="M8" s="5"/>
    </row>
    <row r="9" ht="16.5" customHeight="1">
      <c r="A9" s="13"/>
      <c r="B9" s="14" t="s">
        <v>12</v>
      </c>
      <c r="D9" s="9"/>
      <c r="E9" s="9"/>
      <c r="F9" s="9"/>
      <c r="G9" s="9"/>
      <c r="H9" s="9"/>
      <c r="I9" s="15"/>
      <c r="J9" s="9"/>
      <c r="K9" s="9"/>
      <c r="O9" s="16"/>
    </row>
    <row r="10" ht="34.5" customHeight="1">
      <c r="A10" s="17"/>
      <c r="B10" s="17" t="s">
        <v>13</v>
      </c>
      <c r="L10" s="18"/>
      <c r="M10" s="19"/>
      <c r="N10" s="18"/>
      <c r="O10" s="16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6.5" customHeight="1">
      <c r="A11" s="20"/>
      <c r="B11" s="20"/>
      <c r="O11" s="21"/>
      <c r="P11" s="5" t="s">
        <v>223</v>
      </c>
    </row>
    <row r="12" ht="16.5" customHeight="1">
      <c r="A12" s="22"/>
      <c r="B12" s="22"/>
      <c r="C12" s="12" t="s">
        <v>14</v>
      </c>
      <c r="D12" s="5" t="s">
        <v>15</v>
      </c>
      <c r="E12" s="12" t="s">
        <v>224</v>
      </c>
      <c r="L12" s="23"/>
      <c r="M12" s="24"/>
      <c r="O12" s="21"/>
      <c r="P12" s="5" t="s">
        <v>225</v>
      </c>
      <c r="T12" s="25" t="s">
        <v>71</v>
      </c>
    </row>
    <row r="13" ht="16.5" customHeight="1">
      <c r="A13" s="22"/>
      <c r="B13" s="22"/>
      <c r="C13" s="12" t="s">
        <v>23</v>
      </c>
      <c r="D13" s="5" t="s">
        <v>15</v>
      </c>
      <c r="E13" s="9" t="s">
        <v>24</v>
      </c>
      <c r="O13" s="21"/>
      <c r="P13" s="9" t="s">
        <v>226</v>
      </c>
      <c r="T13" s="25" t="s">
        <v>227</v>
      </c>
    </row>
    <row r="14" ht="16.5" customHeight="1">
      <c r="A14" s="22"/>
      <c r="B14" s="22"/>
      <c r="C14" s="12" t="s">
        <v>28</v>
      </c>
      <c r="D14" s="5" t="s">
        <v>15</v>
      </c>
      <c r="E14" s="9" t="s">
        <v>29</v>
      </c>
      <c r="O14" s="21"/>
      <c r="P14" s="9" t="s">
        <v>228</v>
      </c>
      <c r="T14" s="28" t="s">
        <v>194</v>
      </c>
      <c r="U14" s="29"/>
      <c r="V14" s="29"/>
      <c r="W14" s="30"/>
    </row>
    <row r="15" ht="16.5" customHeight="1">
      <c r="A15" s="22"/>
      <c r="B15" s="22"/>
      <c r="C15" s="12" t="s">
        <v>33</v>
      </c>
      <c r="D15" s="5" t="s">
        <v>15</v>
      </c>
      <c r="E15" s="9" t="s">
        <v>34</v>
      </c>
      <c r="I15" s="5" t="s">
        <v>35</v>
      </c>
      <c r="O15" s="21"/>
      <c r="P15" s="9" t="s">
        <v>229</v>
      </c>
      <c r="T15" s="25" t="s">
        <v>84</v>
      </c>
    </row>
    <row r="16" ht="16.5" customHeight="1">
      <c r="A16" s="22"/>
      <c r="B16" s="22"/>
      <c r="C16" s="12" t="s">
        <v>38</v>
      </c>
      <c r="D16" s="5" t="s">
        <v>15</v>
      </c>
      <c r="E16" s="9" t="s">
        <v>39</v>
      </c>
      <c r="F16" s="5" t="s">
        <v>40</v>
      </c>
      <c r="O16" s="21"/>
      <c r="P16" s="9" t="s">
        <v>230</v>
      </c>
      <c r="T16" s="25" t="s">
        <v>74</v>
      </c>
    </row>
    <row r="17" ht="16.5" customHeight="1">
      <c r="A17" s="22"/>
      <c r="B17" s="22"/>
      <c r="C17" s="12" t="s">
        <v>44</v>
      </c>
      <c r="D17" s="5" t="s">
        <v>15</v>
      </c>
      <c r="E17" s="9" t="s">
        <v>45</v>
      </c>
      <c r="O17" s="21"/>
      <c r="P17" s="9" t="s">
        <v>231</v>
      </c>
      <c r="T17" s="25" t="s">
        <v>97</v>
      </c>
    </row>
    <row r="18" ht="16.5" customHeight="1">
      <c r="A18" s="22"/>
      <c r="B18" s="22"/>
      <c r="C18" s="12"/>
      <c r="D18" s="5"/>
      <c r="E18" s="9"/>
      <c r="O18" s="21"/>
      <c r="P18" s="5" t="s">
        <v>232</v>
      </c>
      <c r="T18" s="28" t="s">
        <v>78</v>
      </c>
      <c r="U18" s="29"/>
      <c r="V18" s="29"/>
      <c r="W18" s="29"/>
      <c r="X18" s="29"/>
      <c r="Y18" s="29"/>
      <c r="Z18" s="30"/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O19" s="21"/>
      <c r="P19" s="5" t="s">
        <v>233</v>
      </c>
      <c r="T19" s="31" t="s">
        <v>234</v>
      </c>
    </row>
    <row r="20" ht="16.5" customHeight="1">
      <c r="A20" s="3"/>
      <c r="B20" s="32" t="s">
        <v>55</v>
      </c>
      <c r="C20" s="33" t="s">
        <v>56</v>
      </c>
      <c r="D20" s="34"/>
      <c r="E20" s="34"/>
      <c r="F20" s="35"/>
      <c r="G20" s="33" t="s">
        <v>57</v>
      </c>
      <c r="H20" s="35"/>
      <c r="I20" s="36" t="s">
        <v>58</v>
      </c>
      <c r="J20" s="37" t="s">
        <v>60</v>
      </c>
      <c r="O20" s="21"/>
      <c r="P20" s="5" t="s">
        <v>235</v>
      </c>
      <c r="T20" s="25" t="s">
        <v>236</v>
      </c>
    </row>
    <row r="21" ht="16.5" customHeight="1">
      <c r="A21" s="38"/>
      <c r="B21" s="39">
        <v>1.0</v>
      </c>
      <c r="C21" s="25" t="s">
        <v>193</v>
      </c>
      <c r="D21" s="25"/>
      <c r="E21" s="25"/>
      <c r="F21" s="25"/>
      <c r="G21" s="42">
        <v>7.0</v>
      </c>
      <c r="H21" s="30"/>
      <c r="I21" s="43">
        <v>70.0</v>
      </c>
      <c r="J21" s="47">
        <f t="shared" ref="J21:J34" si="1">G21*I21</f>
        <v>490</v>
      </c>
      <c r="P21" s="5" t="s">
        <v>237</v>
      </c>
      <c r="T21" s="48" t="s">
        <v>213</v>
      </c>
    </row>
    <row r="22" ht="16.5" customHeight="1">
      <c r="A22" s="38"/>
      <c r="B22" s="39">
        <v>2.0</v>
      </c>
      <c r="C22" s="25" t="s">
        <v>71</v>
      </c>
      <c r="D22" s="25"/>
      <c r="E22" s="25"/>
      <c r="F22" s="25"/>
      <c r="G22" s="42">
        <v>2.0</v>
      </c>
      <c r="H22" s="30"/>
      <c r="I22" s="49">
        <v>30.0</v>
      </c>
      <c r="J22" s="47">
        <f t="shared" si="1"/>
        <v>60</v>
      </c>
      <c r="P22" s="5" t="s">
        <v>238</v>
      </c>
      <c r="T22" s="48" t="s">
        <v>239</v>
      </c>
    </row>
    <row r="23" ht="16.5" customHeight="1">
      <c r="A23" s="38"/>
      <c r="B23" s="39">
        <v>3.0</v>
      </c>
      <c r="C23" s="25" t="s">
        <v>227</v>
      </c>
      <c r="D23" s="25"/>
      <c r="E23" s="25"/>
      <c r="F23" s="25"/>
      <c r="G23" s="42">
        <v>2.0</v>
      </c>
      <c r="H23" s="30"/>
      <c r="I23" s="49">
        <v>43.0</v>
      </c>
      <c r="J23" s="47">
        <f t="shared" si="1"/>
        <v>86</v>
      </c>
      <c r="P23" s="5" t="s">
        <v>240</v>
      </c>
      <c r="T23" s="48" t="s">
        <v>191</v>
      </c>
    </row>
    <row r="24" ht="16.5" customHeight="1">
      <c r="A24" s="38"/>
      <c r="B24" s="39">
        <v>4.0</v>
      </c>
      <c r="C24" s="28" t="s">
        <v>194</v>
      </c>
      <c r="D24" s="29"/>
      <c r="E24" s="29"/>
      <c r="F24" s="30"/>
      <c r="G24" s="42">
        <v>2.0</v>
      </c>
      <c r="H24" s="30"/>
      <c r="I24" s="50">
        <v>22.0</v>
      </c>
      <c r="J24" s="47">
        <f t="shared" si="1"/>
        <v>44</v>
      </c>
    </row>
    <row r="25" ht="16.5" customHeight="1">
      <c r="A25" s="38"/>
      <c r="B25" s="39">
        <v>5.0</v>
      </c>
      <c r="C25" s="28" t="s">
        <v>84</v>
      </c>
      <c r="D25" s="29"/>
      <c r="E25" s="29"/>
      <c r="F25" s="30"/>
      <c r="G25" s="42">
        <v>16.0</v>
      </c>
      <c r="H25" s="30"/>
      <c r="I25" s="50">
        <v>26.0</v>
      </c>
      <c r="J25" s="47">
        <f t="shared" si="1"/>
        <v>416</v>
      </c>
    </row>
    <row r="26" ht="16.5" customHeight="1">
      <c r="A26" s="38"/>
      <c r="B26" s="39">
        <v>6.0</v>
      </c>
      <c r="C26" s="25" t="s">
        <v>74</v>
      </c>
      <c r="D26" s="25"/>
      <c r="E26" s="25"/>
      <c r="F26" s="25"/>
      <c r="G26" s="42">
        <v>16.0</v>
      </c>
      <c r="H26" s="30"/>
      <c r="I26" s="50">
        <v>32.0</v>
      </c>
      <c r="J26" s="47">
        <f t="shared" si="1"/>
        <v>512</v>
      </c>
    </row>
    <row r="27" ht="16.5" customHeight="1">
      <c r="A27" s="38"/>
      <c r="B27" s="39">
        <v>7.0</v>
      </c>
      <c r="C27" s="25" t="s">
        <v>97</v>
      </c>
      <c r="D27" s="25"/>
      <c r="E27" s="25"/>
      <c r="F27" s="25"/>
      <c r="G27" s="42">
        <v>2.0</v>
      </c>
      <c r="H27" s="30"/>
      <c r="I27" s="50">
        <v>45.0</v>
      </c>
      <c r="J27" s="47">
        <f t="shared" si="1"/>
        <v>90</v>
      </c>
    </row>
    <row r="28" ht="16.5" customHeight="1">
      <c r="A28" s="38"/>
      <c r="B28" s="39">
        <v>8.0</v>
      </c>
      <c r="C28" s="25" t="s">
        <v>78</v>
      </c>
      <c r="D28" s="25"/>
      <c r="E28" s="25"/>
      <c r="F28" s="25"/>
      <c r="G28" s="42">
        <v>10.0</v>
      </c>
      <c r="H28" s="30"/>
      <c r="I28" s="50">
        <v>25.0</v>
      </c>
      <c r="J28" s="47">
        <f t="shared" si="1"/>
        <v>250</v>
      </c>
    </row>
    <row r="29" ht="16.5" customHeight="1">
      <c r="A29" s="38"/>
      <c r="B29" s="39">
        <v>9.0</v>
      </c>
      <c r="C29" s="25" t="s">
        <v>234</v>
      </c>
      <c r="D29" s="25"/>
      <c r="E29" s="25"/>
      <c r="F29" s="25"/>
      <c r="G29" s="42">
        <v>10.0</v>
      </c>
      <c r="H29" s="30"/>
      <c r="I29" s="50">
        <v>24.0</v>
      </c>
      <c r="J29" s="47">
        <f t="shared" si="1"/>
        <v>240</v>
      </c>
    </row>
    <row r="30" ht="16.5" customHeight="1">
      <c r="A30" s="38"/>
      <c r="B30" s="39">
        <v>10.0</v>
      </c>
      <c r="C30" s="48" t="s">
        <v>236</v>
      </c>
      <c r="D30" s="48"/>
      <c r="E30" s="48"/>
      <c r="F30" s="48"/>
      <c r="G30" s="42">
        <v>2.0</v>
      </c>
      <c r="H30" s="30"/>
      <c r="I30" s="50">
        <v>45.0</v>
      </c>
      <c r="J30" s="47">
        <f t="shared" si="1"/>
        <v>90</v>
      </c>
    </row>
    <row r="31" ht="16.5" customHeight="1">
      <c r="A31" s="38"/>
      <c r="B31" s="39">
        <v>11.0</v>
      </c>
      <c r="C31" s="48" t="s">
        <v>213</v>
      </c>
      <c r="D31" s="48"/>
      <c r="E31" s="48"/>
      <c r="F31" s="48"/>
      <c r="G31" s="42">
        <v>1.0</v>
      </c>
      <c r="H31" s="30"/>
      <c r="I31" s="50">
        <v>85.0</v>
      </c>
      <c r="J31" s="47">
        <f t="shared" si="1"/>
        <v>85</v>
      </c>
    </row>
    <row r="32" ht="16.5" customHeight="1">
      <c r="A32" s="38"/>
      <c r="B32" s="39">
        <v>12.0</v>
      </c>
      <c r="C32" s="48" t="s">
        <v>239</v>
      </c>
      <c r="D32" s="48"/>
      <c r="E32" s="48"/>
      <c r="F32" s="48"/>
      <c r="G32" s="42">
        <v>10.0</v>
      </c>
      <c r="H32" s="30"/>
      <c r="I32" s="50">
        <v>40.0</v>
      </c>
      <c r="J32" s="47">
        <f t="shared" si="1"/>
        <v>400</v>
      </c>
    </row>
    <row r="33" ht="16.5" customHeight="1">
      <c r="A33" s="38"/>
      <c r="B33" s="39">
        <v>13.0</v>
      </c>
      <c r="C33" s="48" t="s">
        <v>191</v>
      </c>
      <c r="D33" s="48"/>
      <c r="E33" s="48"/>
      <c r="F33" s="48"/>
      <c r="G33" s="42">
        <v>10.0</v>
      </c>
      <c r="H33" s="30"/>
      <c r="I33" s="50">
        <v>39.0</v>
      </c>
      <c r="J33" s="47">
        <f t="shared" si="1"/>
        <v>390</v>
      </c>
    </row>
    <row r="34" ht="16.5" customHeight="1">
      <c r="A34" s="38"/>
      <c r="B34" s="39">
        <v>14.0</v>
      </c>
      <c r="C34" s="51" t="s">
        <v>90</v>
      </c>
      <c r="D34" s="29"/>
      <c r="E34" s="29"/>
      <c r="F34" s="30"/>
      <c r="G34" s="42">
        <f>SUM(G21:H33)/30</f>
        <v>3</v>
      </c>
      <c r="H34" s="30"/>
      <c r="I34" s="50">
        <v>120.0</v>
      </c>
      <c r="J34" s="47">
        <f t="shared" si="1"/>
        <v>360</v>
      </c>
    </row>
    <row r="35" ht="16.5" customHeight="1">
      <c r="A35" s="10"/>
      <c r="B35" s="52" t="s">
        <v>93</v>
      </c>
      <c r="C35" s="53"/>
      <c r="D35" s="53"/>
      <c r="E35" s="53"/>
      <c r="F35" s="53"/>
      <c r="G35" s="53">
        <f>SUM(G21:H33)</f>
        <v>90</v>
      </c>
      <c r="H35" s="53"/>
      <c r="I35" s="54" t="s">
        <v>98</v>
      </c>
      <c r="J35" s="55">
        <f>SUM(J21:J34)</f>
        <v>3513</v>
      </c>
    </row>
    <row r="36" ht="28.5" customHeight="1">
      <c r="A36" s="56"/>
      <c r="B36" s="56" t="s">
        <v>102</v>
      </c>
      <c r="C36" s="9"/>
      <c r="D36" s="9"/>
      <c r="E36" s="9"/>
      <c r="F36" s="9"/>
      <c r="G36" s="9"/>
      <c r="H36" s="9"/>
      <c r="I36" s="9"/>
    </row>
    <row r="37" ht="16.5" customHeight="1">
      <c r="A37" s="9"/>
      <c r="B37" s="9"/>
      <c r="F37" s="9"/>
    </row>
    <row r="38" ht="16.5" customHeight="1">
      <c r="A38" s="58"/>
      <c r="B38" s="58" t="s">
        <v>104</v>
      </c>
      <c r="C38" s="9"/>
      <c r="D38" s="9"/>
      <c r="F38" s="9"/>
    </row>
    <row r="39" ht="7.5" customHeight="1">
      <c r="M39" s="10"/>
      <c r="N39" s="10"/>
      <c r="O39" s="9"/>
      <c r="Q39" s="9"/>
    </row>
    <row r="40" ht="16.5" customHeight="1">
      <c r="A40" s="10"/>
      <c r="B40" s="61" t="s">
        <v>105</v>
      </c>
      <c r="C40" s="62"/>
      <c r="D40" s="5" t="s">
        <v>15</v>
      </c>
      <c r="E40" s="9" t="s">
        <v>107</v>
      </c>
      <c r="G40" s="62"/>
      <c r="L40" s="63"/>
      <c r="M40" s="10"/>
      <c r="N40" s="10"/>
      <c r="O40" s="9"/>
      <c r="Q40" s="9"/>
    </row>
    <row r="41" ht="16.5" customHeight="1">
      <c r="A41" s="10"/>
      <c r="B41" s="61" t="s">
        <v>108</v>
      </c>
      <c r="D41" s="5" t="s">
        <v>15</v>
      </c>
      <c r="E41" s="9" t="s">
        <v>107</v>
      </c>
      <c r="M41" s="10"/>
      <c r="N41" s="10"/>
      <c r="O41" s="9"/>
    </row>
    <row r="42" ht="16.5" customHeight="1">
      <c r="E42" s="9" t="s">
        <v>109</v>
      </c>
      <c r="M42" s="10"/>
      <c r="N42" s="10"/>
      <c r="O42" s="9"/>
    </row>
    <row r="43" ht="16.5" customHeight="1">
      <c r="M43" s="10"/>
      <c r="N43" s="62"/>
      <c r="R43" s="62"/>
    </row>
    <row r="44" ht="16.5" customHeight="1">
      <c r="A44" s="62"/>
      <c r="B44" s="62"/>
      <c r="C44" s="62"/>
    </row>
    <row r="45" ht="16.5" customHeight="1"/>
    <row r="46" ht="16.5" customHeight="1">
      <c r="A46" s="9"/>
      <c r="B46" s="9"/>
      <c r="E46" s="9"/>
      <c r="G46" s="62"/>
    </row>
    <row r="47" ht="16.5" customHeight="1">
      <c r="A47" s="9"/>
      <c r="B47" s="9"/>
      <c r="E47" s="9"/>
      <c r="G47" s="62"/>
    </row>
    <row r="48" ht="16.5" customHeight="1"/>
    <row r="49" ht="16.5" customHeight="1"/>
    <row r="50" ht="16.5" customHeight="1">
      <c r="I50" s="23"/>
      <c r="J50" s="66"/>
      <c r="K50" s="66"/>
    </row>
    <row r="51" ht="16.5" customHeight="1">
      <c r="F51" s="68" t="s">
        <v>117</v>
      </c>
      <c r="G51" s="69"/>
      <c r="H51" s="69"/>
      <c r="I51" s="69"/>
      <c r="J51" s="69"/>
    </row>
    <row r="52" ht="16.5" customHeight="1"/>
    <row r="53" ht="16.5" customHeight="1">
      <c r="A53" s="70"/>
      <c r="B53" s="70"/>
    </row>
    <row r="54" ht="16.5" customHeight="1">
      <c r="A54" s="70"/>
      <c r="B54" s="70"/>
    </row>
    <row r="55" ht="16.5" customHeight="1">
      <c r="A55" s="26"/>
      <c r="B55" s="26"/>
    </row>
    <row r="56" ht="16.5" customHeight="1">
      <c r="A56" s="71"/>
      <c r="B56" s="71"/>
    </row>
    <row r="57" ht="16.5" customHeight="1"/>
    <row r="58" ht="16.5" customHeight="1"/>
    <row r="59" ht="16.5" customHeight="1"/>
    <row r="60" ht="16.5" customHeight="1"/>
    <row r="61" ht="16.5" customHeight="1">
      <c r="C61" s="8"/>
      <c r="D61" s="72" t="s">
        <v>124</v>
      </c>
      <c r="E61" s="73"/>
      <c r="F61" s="73"/>
      <c r="G61" s="73"/>
      <c r="H61" s="8"/>
      <c r="I61" s="8"/>
      <c r="J61" s="8"/>
      <c r="K61" s="74"/>
    </row>
    <row r="62" ht="16.5" customHeight="1">
      <c r="C62" s="8"/>
      <c r="D62" s="8" t="s">
        <v>126</v>
      </c>
      <c r="K62" s="75">
        <v>35000.0</v>
      </c>
    </row>
    <row r="63" ht="16.5" customHeight="1">
      <c r="C63" s="8"/>
      <c r="D63" s="8" t="s">
        <v>127</v>
      </c>
      <c r="K63" s="75">
        <v>40000.0</v>
      </c>
    </row>
    <row r="64" ht="16.5" customHeight="1">
      <c r="C64" s="8"/>
      <c r="D64" s="8" t="s">
        <v>128</v>
      </c>
      <c r="E64" s="8"/>
      <c r="F64" s="8"/>
      <c r="G64" s="8"/>
      <c r="H64" s="8"/>
      <c r="I64" s="8"/>
      <c r="J64" s="8"/>
      <c r="K64" s="75">
        <v>65000.0</v>
      </c>
    </row>
    <row r="65" ht="16.5" customHeight="1">
      <c r="C65" s="8"/>
      <c r="D65" s="8" t="s">
        <v>129</v>
      </c>
      <c r="E65" s="8"/>
      <c r="F65" s="8"/>
      <c r="G65" s="8"/>
      <c r="H65" s="8"/>
      <c r="I65" s="8"/>
      <c r="J65" s="8"/>
      <c r="K65" s="75">
        <v>65000.0</v>
      </c>
    </row>
    <row r="66" ht="16.5" customHeight="1">
      <c r="C66" s="8"/>
      <c r="D66" s="8" t="s">
        <v>130</v>
      </c>
      <c r="E66" s="8"/>
      <c r="F66" s="8"/>
      <c r="G66" s="8"/>
      <c r="H66" s="8"/>
      <c r="I66" s="8"/>
      <c r="J66" s="8"/>
      <c r="K66" s="75">
        <v>35000.0</v>
      </c>
    </row>
    <row r="67" ht="16.5" customHeight="1">
      <c r="C67" s="8"/>
      <c r="D67" s="8" t="s">
        <v>131</v>
      </c>
      <c r="E67" s="8"/>
      <c r="F67" s="8"/>
      <c r="G67" s="8"/>
      <c r="H67" s="8"/>
      <c r="I67" s="8"/>
      <c r="J67" s="8"/>
      <c r="K67" s="75">
        <v>37000.0</v>
      </c>
    </row>
    <row r="68" ht="16.5" customHeight="1">
      <c r="C68" s="8"/>
      <c r="D68" s="8" t="s">
        <v>133</v>
      </c>
      <c r="E68" s="8"/>
      <c r="F68" s="8"/>
      <c r="G68" s="8"/>
      <c r="H68" s="8"/>
      <c r="I68" s="8"/>
      <c r="J68" s="8"/>
      <c r="K68" s="75">
        <v>32000.0</v>
      </c>
    </row>
    <row r="69" ht="16.5" customHeight="1">
      <c r="C69" s="8"/>
      <c r="D69" s="8" t="s">
        <v>134</v>
      </c>
      <c r="H69" s="8"/>
      <c r="I69" s="8"/>
      <c r="J69" s="8"/>
      <c r="K69" s="75">
        <v>55000.0</v>
      </c>
    </row>
    <row r="70" ht="16.5" customHeight="1">
      <c r="C70" s="8"/>
      <c r="D70" s="8" t="s">
        <v>135</v>
      </c>
      <c r="E70" s="8"/>
      <c r="F70" s="8"/>
      <c r="G70" s="8"/>
      <c r="H70" s="8"/>
      <c r="I70" s="8"/>
      <c r="J70" s="8"/>
      <c r="K70" s="75">
        <v>60000.0</v>
      </c>
    </row>
    <row r="71" ht="16.5" customHeight="1">
      <c r="C71" s="8"/>
      <c r="D71" s="8" t="s">
        <v>136</v>
      </c>
      <c r="E71" s="8"/>
      <c r="F71" s="8"/>
      <c r="G71" s="8"/>
      <c r="H71" s="8"/>
      <c r="I71" s="8"/>
      <c r="J71" s="8"/>
      <c r="K71" s="75">
        <v>40000.0</v>
      </c>
    </row>
    <row r="72" ht="16.5" customHeight="1">
      <c r="C72" s="8"/>
      <c r="D72" s="8" t="s">
        <v>137</v>
      </c>
      <c r="E72" s="8"/>
      <c r="F72" s="8"/>
      <c r="G72" s="8"/>
      <c r="H72" s="8"/>
      <c r="I72" s="8"/>
      <c r="J72" s="8"/>
      <c r="K72" s="75">
        <v>27000.0</v>
      </c>
    </row>
    <row r="73" ht="16.5" customHeight="1">
      <c r="C73" s="8"/>
      <c r="D73" s="8" t="s">
        <v>138</v>
      </c>
      <c r="E73" s="8"/>
      <c r="F73" s="8"/>
      <c r="G73" s="8"/>
      <c r="H73" s="8"/>
      <c r="I73" s="8"/>
      <c r="J73" s="8"/>
      <c r="K73" s="75">
        <v>32000.0</v>
      </c>
    </row>
    <row r="74" ht="16.5" customHeight="1">
      <c r="C74" s="8"/>
      <c r="D74" s="8" t="s">
        <v>139</v>
      </c>
      <c r="E74" s="8"/>
      <c r="F74" s="8"/>
      <c r="G74" s="8"/>
      <c r="H74" s="8"/>
      <c r="I74" s="8"/>
      <c r="J74" s="8"/>
      <c r="K74" s="75">
        <v>27000.0</v>
      </c>
    </row>
    <row r="75" ht="16.5" customHeight="1">
      <c r="C75" s="8"/>
      <c r="D75" s="8" t="s">
        <v>140</v>
      </c>
      <c r="E75" s="8"/>
      <c r="F75" s="8"/>
      <c r="G75" s="8"/>
      <c r="H75" s="8"/>
      <c r="I75" s="8"/>
      <c r="J75" s="8"/>
      <c r="K75" s="75">
        <v>110000.0</v>
      </c>
    </row>
    <row r="76" ht="16.5" customHeight="1">
      <c r="C76" s="8"/>
      <c r="D76" s="8" t="s">
        <v>142</v>
      </c>
      <c r="E76" s="8"/>
      <c r="F76" s="8"/>
      <c r="G76" s="8"/>
      <c r="H76" s="8"/>
      <c r="I76" s="8"/>
      <c r="J76" s="8"/>
      <c r="K76" s="75">
        <v>30000.0</v>
      </c>
    </row>
    <row r="77" ht="16.5" customHeight="1">
      <c r="C77" s="8"/>
      <c r="D77" s="8" t="s">
        <v>143</v>
      </c>
      <c r="E77" s="8"/>
      <c r="F77" s="8"/>
      <c r="G77" s="8"/>
      <c r="H77" s="8"/>
      <c r="I77" s="8"/>
      <c r="J77" s="8"/>
      <c r="K77" s="75">
        <v>27000.0</v>
      </c>
    </row>
    <row r="78" ht="16.5" customHeight="1">
      <c r="C78" s="8"/>
      <c r="D78" s="8" t="s">
        <v>144</v>
      </c>
      <c r="E78" s="8"/>
      <c r="F78" s="8"/>
      <c r="G78" s="8"/>
      <c r="H78" s="8"/>
      <c r="I78" s="8"/>
      <c r="J78" s="8"/>
      <c r="K78" s="75">
        <v>33000.0</v>
      </c>
    </row>
    <row r="79" ht="16.5" customHeight="1">
      <c r="C79" s="8"/>
      <c r="D79" s="8" t="s">
        <v>145</v>
      </c>
      <c r="E79" s="8"/>
      <c r="F79" s="8"/>
      <c r="G79" s="8"/>
      <c r="H79" s="8"/>
      <c r="I79" s="8"/>
      <c r="J79" s="8"/>
      <c r="K79" s="75">
        <v>35000.0</v>
      </c>
    </row>
    <row r="80" ht="16.5" customHeight="1">
      <c r="C80" s="8"/>
      <c r="D80" s="8" t="s">
        <v>146</v>
      </c>
      <c r="E80" s="8"/>
      <c r="F80" s="8"/>
      <c r="G80" s="8"/>
      <c r="H80" s="8"/>
      <c r="I80" s="8"/>
      <c r="J80" s="8"/>
      <c r="K80" s="75">
        <v>33000.0</v>
      </c>
    </row>
    <row r="81" ht="16.5" customHeight="1">
      <c r="C81" s="8"/>
      <c r="D81" s="8" t="s">
        <v>147</v>
      </c>
      <c r="E81" s="8"/>
      <c r="F81" s="8"/>
      <c r="G81" s="8"/>
      <c r="H81" s="8"/>
      <c r="I81" s="8"/>
      <c r="J81" s="8"/>
      <c r="K81" s="75">
        <v>33000.0</v>
      </c>
    </row>
    <row r="82" ht="16.5" customHeight="1">
      <c r="C82" s="8"/>
      <c r="D82" s="8" t="s">
        <v>148</v>
      </c>
      <c r="E82" s="8"/>
      <c r="F82" s="8"/>
      <c r="G82" s="8"/>
      <c r="H82" s="8"/>
      <c r="I82" s="8"/>
      <c r="J82" s="8"/>
      <c r="K82" s="75">
        <v>35000.0</v>
      </c>
    </row>
    <row r="83" ht="16.5" customHeight="1">
      <c r="C83" s="8"/>
      <c r="D83" s="8" t="s">
        <v>149</v>
      </c>
      <c r="E83" s="8"/>
      <c r="F83" s="8"/>
      <c r="G83" s="8"/>
      <c r="H83" s="8"/>
      <c r="I83" s="8"/>
      <c r="J83" s="8"/>
      <c r="K83" s="75">
        <v>33000.0</v>
      </c>
    </row>
    <row r="84" ht="16.5" customHeight="1">
      <c r="C84" s="8"/>
      <c r="D84" s="8" t="s">
        <v>150</v>
      </c>
      <c r="E84" s="8"/>
      <c r="F84" s="8"/>
      <c r="G84" s="8"/>
      <c r="H84" s="8"/>
      <c r="I84" s="8"/>
      <c r="J84" s="8"/>
      <c r="K84" s="75">
        <v>33000.0</v>
      </c>
    </row>
    <row r="85" ht="16.5" customHeight="1">
      <c r="C85" s="8"/>
      <c r="D85" s="8" t="s">
        <v>151</v>
      </c>
      <c r="E85" s="8"/>
      <c r="F85" s="8"/>
      <c r="G85" s="8"/>
      <c r="H85" s="8"/>
      <c r="I85" s="8"/>
      <c r="J85" s="8"/>
      <c r="K85" s="75">
        <v>32000.0</v>
      </c>
    </row>
    <row r="86" ht="16.5" customHeight="1">
      <c r="C86" s="8"/>
      <c r="D86" s="8" t="s">
        <v>153</v>
      </c>
      <c r="E86" s="8"/>
      <c r="F86" s="8"/>
      <c r="G86" s="8"/>
      <c r="H86" s="8"/>
      <c r="I86" s="8"/>
      <c r="J86" s="8"/>
      <c r="K86" s="75">
        <v>33000.0</v>
      </c>
    </row>
    <row r="87" ht="16.5" customHeight="1">
      <c r="C87" s="8"/>
      <c r="D87" s="8" t="s">
        <v>154</v>
      </c>
      <c r="E87" s="8"/>
      <c r="F87" s="8"/>
      <c r="G87" s="8"/>
      <c r="H87" s="8"/>
      <c r="I87" s="8"/>
      <c r="J87" s="8"/>
      <c r="K87" s="75">
        <v>40000.0</v>
      </c>
    </row>
    <row r="88" ht="16.5" customHeight="1">
      <c r="C88" s="8"/>
      <c r="D88" s="8" t="s">
        <v>155</v>
      </c>
      <c r="E88" s="8"/>
      <c r="F88" s="8"/>
      <c r="G88" s="8"/>
      <c r="H88" s="8"/>
      <c r="I88" s="8"/>
      <c r="J88" s="8"/>
      <c r="K88" s="75">
        <v>35000.0</v>
      </c>
    </row>
    <row r="89" ht="16.5" customHeight="1">
      <c r="C89" s="8"/>
      <c r="D89" s="8" t="s">
        <v>156</v>
      </c>
      <c r="E89" s="8"/>
      <c r="F89" s="8"/>
      <c r="G89" s="8"/>
      <c r="H89" s="8"/>
      <c r="I89" s="8"/>
      <c r="J89" s="8"/>
      <c r="K89" s="74"/>
    </row>
    <row r="90" ht="16.5" customHeight="1">
      <c r="C90" s="8"/>
      <c r="D90" s="8" t="s">
        <v>157</v>
      </c>
      <c r="E90" s="8"/>
      <c r="F90" s="8"/>
      <c r="G90" s="8"/>
      <c r="H90" s="8"/>
      <c r="I90" s="8"/>
      <c r="J90" s="8"/>
      <c r="K90" s="74"/>
    </row>
    <row r="91" ht="16.5" customHeight="1">
      <c r="C91" s="8"/>
      <c r="D91" s="8" t="s">
        <v>158</v>
      </c>
      <c r="E91" s="8"/>
      <c r="F91" s="8"/>
      <c r="G91" s="8"/>
      <c r="H91" s="8"/>
      <c r="I91" s="8"/>
      <c r="J91" s="8"/>
      <c r="K91" s="74"/>
    </row>
    <row r="92" ht="16.5" customHeight="1">
      <c r="C92" s="8"/>
      <c r="D92" s="8" t="s">
        <v>159</v>
      </c>
      <c r="E92" s="8"/>
      <c r="F92" s="8"/>
      <c r="G92" s="8"/>
      <c r="H92" s="8"/>
      <c r="I92" s="8"/>
      <c r="J92" s="8"/>
      <c r="K92" s="75">
        <v>35000.0</v>
      </c>
    </row>
    <row r="93" ht="16.5" customHeight="1">
      <c r="C93" s="8"/>
      <c r="D93" s="8" t="s">
        <v>160</v>
      </c>
      <c r="E93" s="8"/>
      <c r="F93" s="8"/>
      <c r="G93" s="8"/>
      <c r="H93" s="8"/>
      <c r="I93" s="8"/>
      <c r="J93" s="8"/>
      <c r="K93" s="75">
        <v>30000.0</v>
      </c>
    </row>
    <row r="94" ht="16.5" customHeight="1">
      <c r="C94" s="8"/>
      <c r="D94" s="8" t="s">
        <v>161</v>
      </c>
      <c r="E94" s="8"/>
      <c r="F94" s="8"/>
      <c r="G94" s="8"/>
      <c r="H94" s="8"/>
      <c r="I94" s="8"/>
      <c r="J94" s="8"/>
      <c r="K94" s="75">
        <v>65000.0</v>
      </c>
    </row>
    <row r="95" ht="16.5" customHeight="1">
      <c r="C95" s="8"/>
      <c r="D95" s="8" t="s">
        <v>163</v>
      </c>
      <c r="E95" s="8"/>
      <c r="F95" s="8"/>
      <c r="G95" s="8"/>
      <c r="H95" s="8"/>
      <c r="I95" s="8"/>
      <c r="J95" s="8"/>
      <c r="K95" s="75">
        <v>33000.0</v>
      </c>
    </row>
    <row r="96" ht="16.5" customHeight="1">
      <c r="C96" s="8"/>
      <c r="D96" s="8" t="s">
        <v>164</v>
      </c>
      <c r="E96" s="8"/>
      <c r="F96" s="8"/>
      <c r="G96" s="8"/>
      <c r="H96" s="8"/>
      <c r="I96" s="8"/>
      <c r="J96" s="8"/>
      <c r="K96" s="75">
        <v>40000.0</v>
      </c>
    </row>
    <row r="97" ht="16.5" customHeight="1">
      <c r="C97" s="8"/>
      <c r="D97" s="8" t="s">
        <v>165</v>
      </c>
      <c r="E97" s="8"/>
      <c r="F97" s="8"/>
      <c r="G97" s="8"/>
      <c r="H97" s="8"/>
      <c r="I97" s="8"/>
      <c r="J97" s="8"/>
      <c r="K97" s="74"/>
    </row>
    <row r="98" ht="16.5" customHeight="1">
      <c r="C98" s="8"/>
      <c r="D98" s="8" t="s">
        <v>166</v>
      </c>
      <c r="E98" s="8"/>
      <c r="F98" s="8"/>
      <c r="G98" s="8"/>
      <c r="H98" s="8"/>
      <c r="I98" s="8"/>
      <c r="J98" s="8"/>
      <c r="K98" s="74"/>
    </row>
    <row r="99" ht="16.5" customHeight="1">
      <c r="C99" s="8"/>
      <c r="D99" s="8" t="s">
        <v>167</v>
      </c>
      <c r="E99" s="8"/>
      <c r="F99" s="8"/>
      <c r="G99" s="8"/>
      <c r="H99" s="8"/>
      <c r="I99" s="8"/>
      <c r="J99" s="8"/>
      <c r="K99" s="74"/>
    </row>
    <row r="100" ht="16.5" customHeight="1">
      <c r="C100" s="8"/>
      <c r="D100" s="8" t="s">
        <v>168</v>
      </c>
      <c r="E100" s="8"/>
      <c r="F100" s="8"/>
      <c r="G100" s="8"/>
      <c r="H100" s="8"/>
      <c r="I100" s="8"/>
      <c r="J100" s="8"/>
      <c r="K100" s="74"/>
    </row>
    <row r="101" ht="16.5" customHeight="1">
      <c r="C101" s="8"/>
      <c r="D101" s="8" t="s">
        <v>169</v>
      </c>
      <c r="E101" s="8"/>
      <c r="F101" s="8"/>
      <c r="G101" s="8"/>
      <c r="H101" s="8"/>
      <c r="I101" s="8"/>
      <c r="J101" s="8"/>
      <c r="K101" s="74"/>
    </row>
    <row r="102" ht="16.5" customHeight="1">
      <c r="C102" s="8"/>
      <c r="D102" s="8" t="s">
        <v>170</v>
      </c>
      <c r="E102" s="8"/>
      <c r="F102" s="8"/>
      <c r="G102" s="8"/>
      <c r="H102" s="8"/>
      <c r="I102" s="8"/>
      <c r="J102" s="8"/>
      <c r="K102" s="74"/>
    </row>
    <row r="103" ht="16.5" customHeight="1">
      <c r="C103" s="8"/>
      <c r="D103" s="8" t="s">
        <v>171</v>
      </c>
      <c r="E103" s="8"/>
      <c r="F103" s="8"/>
      <c r="G103" s="8"/>
      <c r="H103" s="8"/>
      <c r="I103" s="8"/>
      <c r="J103" s="8"/>
      <c r="K103" s="74"/>
    </row>
    <row r="104" ht="16.5" customHeight="1">
      <c r="C104" s="8"/>
      <c r="D104" s="8" t="s">
        <v>173</v>
      </c>
      <c r="E104" s="8"/>
      <c r="F104" s="8"/>
      <c r="G104" s="8"/>
      <c r="H104" s="8"/>
      <c r="I104" s="8"/>
      <c r="J104" s="8"/>
      <c r="K104" s="74"/>
    </row>
    <row r="105" ht="16.5" customHeight="1">
      <c r="C105" s="8"/>
      <c r="D105" s="8" t="s">
        <v>174</v>
      </c>
      <c r="E105" s="8"/>
      <c r="F105" s="8"/>
      <c r="G105" s="8"/>
      <c r="H105" s="8"/>
      <c r="I105" s="8"/>
      <c r="J105" s="8"/>
      <c r="K105" s="74"/>
    </row>
    <row r="106" ht="16.5" customHeight="1">
      <c r="C106" s="8"/>
      <c r="D106" s="8" t="s">
        <v>175</v>
      </c>
      <c r="E106" s="8"/>
      <c r="F106" s="8"/>
      <c r="G106" s="8"/>
      <c r="H106" s="8"/>
      <c r="I106" s="8"/>
      <c r="J106" s="8"/>
      <c r="K106" s="74"/>
    </row>
    <row r="107" ht="16.5" customHeight="1">
      <c r="C107" s="8"/>
      <c r="D107" s="8" t="s">
        <v>176</v>
      </c>
      <c r="E107" s="8"/>
      <c r="F107" s="8"/>
      <c r="G107" s="8"/>
      <c r="H107" s="8"/>
      <c r="I107" s="8"/>
      <c r="J107" s="8"/>
      <c r="K107" s="74"/>
    </row>
    <row r="108" ht="16.5" customHeight="1">
      <c r="C108" s="8"/>
      <c r="D108" s="8" t="s">
        <v>177</v>
      </c>
      <c r="E108" s="8"/>
      <c r="F108" s="8"/>
      <c r="G108" s="8"/>
      <c r="H108" s="8"/>
      <c r="I108" s="8"/>
      <c r="J108" s="8"/>
      <c r="K108" s="74"/>
    </row>
    <row r="109" ht="16.5" customHeight="1">
      <c r="C109" s="8"/>
      <c r="D109" s="8" t="s">
        <v>178</v>
      </c>
      <c r="E109" s="8"/>
      <c r="F109" s="8"/>
      <c r="G109" s="8"/>
      <c r="H109" s="8"/>
      <c r="I109" s="8"/>
      <c r="J109" s="8"/>
      <c r="K109" s="74"/>
    </row>
    <row r="110" ht="16.5" customHeight="1">
      <c r="C110" s="8"/>
      <c r="D110" s="8" t="s">
        <v>179</v>
      </c>
      <c r="E110" s="8"/>
      <c r="F110" s="8"/>
      <c r="G110" s="8"/>
      <c r="H110" s="8"/>
      <c r="I110" s="8"/>
      <c r="J110" s="8"/>
      <c r="K110" s="74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1">
    <mergeCell ref="T14:W14"/>
    <mergeCell ref="T18:Z18"/>
    <mergeCell ref="B1:K1"/>
    <mergeCell ref="B2:K2"/>
    <mergeCell ref="B3:K3"/>
    <mergeCell ref="B4:K5"/>
    <mergeCell ref="B8:E8"/>
    <mergeCell ref="B9:C9"/>
    <mergeCell ref="B10:K10"/>
    <mergeCell ref="C20:F20"/>
    <mergeCell ref="G20:H20"/>
    <mergeCell ref="G21:H21"/>
    <mergeCell ref="G22:H22"/>
    <mergeCell ref="G23:H23"/>
    <mergeCell ref="C24:F24"/>
    <mergeCell ref="G24:H24"/>
    <mergeCell ref="G31:H31"/>
    <mergeCell ref="G32:H32"/>
    <mergeCell ref="G33:H33"/>
    <mergeCell ref="C34:F34"/>
    <mergeCell ref="G34:H34"/>
    <mergeCell ref="D62:J62"/>
    <mergeCell ref="D63:J63"/>
    <mergeCell ref="D69:G69"/>
    <mergeCell ref="C25:F25"/>
    <mergeCell ref="G25:H25"/>
    <mergeCell ref="G26:H26"/>
    <mergeCell ref="G27:H27"/>
    <mergeCell ref="G28:H28"/>
    <mergeCell ref="G29:H29"/>
    <mergeCell ref="G30:H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9" t="s">
        <v>6</v>
      </c>
      <c r="B7" s="9"/>
      <c r="C7" s="9"/>
      <c r="D7" s="10"/>
      <c r="E7" s="9"/>
      <c r="F7" s="9"/>
      <c r="G7" s="9"/>
      <c r="H7" s="78" t="s">
        <v>241</v>
      </c>
      <c r="I7" s="9"/>
      <c r="J7" s="9"/>
      <c r="L7" s="5"/>
    </row>
    <row r="8" ht="16.5" customHeight="1">
      <c r="A8" s="12" t="s">
        <v>10</v>
      </c>
      <c r="E8" s="9"/>
      <c r="F8" s="9"/>
      <c r="G8" s="9"/>
      <c r="H8" s="9"/>
      <c r="I8" s="9"/>
      <c r="J8" s="9"/>
      <c r="L8" s="5"/>
    </row>
    <row r="9" ht="16.5" customHeight="1">
      <c r="A9" s="14" t="s">
        <v>12</v>
      </c>
      <c r="C9" s="9"/>
      <c r="D9" s="9"/>
      <c r="E9" s="9"/>
      <c r="F9" s="9"/>
      <c r="G9" s="9"/>
      <c r="H9" s="15"/>
      <c r="I9" s="9"/>
      <c r="J9" s="9"/>
      <c r="N9" s="16"/>
    </row>
    <row r="10" ht="34.5" customHeight="1">
      <c r="A10" s="17" t="s">
        <v>13</v>
      </c>
      <c r="K10" s="18"/>
      <c r="L10" s="19"/>
      <c r="M10" s="18"/>
      <c r="N10" s="16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16.5" customHeight="1">
      <c r="A11" s="20"/>
      <c r="N11" s="21"/>
      <c r="O11" s="5" t="s">
        <v>242</v>
      </c>
    </row>
    <row r="12" ht="16.5" customHeight="1">
      <c r="A12" s="22"/>
      <c r="B12" s="12" t="s">
        <v>14</v>
      </c>
      <c r="C12" s="5" t="s">
        <v>15</v>
      </c>
      <c r="D12" s="12" t="s">
        <v>243</v>
      </c>
      <c r="K12" s="23"/>
      <c r="L12" s="24"/>
      <c r="N12" s="21"/>
      <c r="O12" s="5" t="s">
        <v>244</v>
      </c>
    </row>
    <row r="13" ht="16.5" customHeight="1">
      <c r="A13" s="22"/>
      <c r="B13" s="12" t="s">
        <v>23</v>
      </c>
      <c r="C13" s="5" t="s">
        <v>15</v>
      </c>
      <c r="D13" s="9" t="s">
        <v>24</v>
      </c>
      <c r="N13" s="21"/>
      <c r="O13" s="9" t="s">
        <v>245</v>
      </c>
    </row>
    <row r="14" ht="16.5" customHeight="1">
      <c r="A14" s="22"/>
      <c r="B14" s="12" t="s">
        <v>28</v>
      </c>
      <c r="C14" s="5" t="s">
        <v>15</v>
      </c>
      <c r="D14" s="9" t="s">
        <v>29</v>
      </c>
      <c r="N14" s="21"/>
      <c r="O14" s="9" t="s">
        <v>246</v>
      </c>
    </row>
    <row r="15" ht="16.5" customHeight="1">
      <c r="A15" s="22"/>
      <c r="B15" s="12" t="s">
        <v>33</v>
      </c>
      <c r="C15" s="5" t="s">
        <v>15</v>
      </c>
      <c r="D15" s="9" t="s">
        <v>34</v>
      </c>
      <c r="H15" s="5" t="s">
        <v>35</v>
      </c>
      <c r="N15" s="21"/>
      <c r="O15" s="9" t="s">
        <v>247</v>
      </c>
    </row>
    <row r="16" ht="16.5" customHeight="1">
      <c r="A16" s="22"/>
      <c r="B16" s="12" t="s">
        <v>38</v>
      </c>
      <c r="C16" s="5" t="s">
        <v>15</v>
      </c>
      <c r="D16" s="9" t="s">
        <v>39</v>
      </c>
      <c r="E16" s="5" t="s">
        <v>40</v>
      </c>
      <c r="N16" s="21"/>
      <c r="O16" s="9" t="s">
        <v>248</v>
      </c>
    </row>
    <row r="17" ht="16.5" customHeight="1">
      <c r="A17" s="22"/>
      <c r="B17" s="12" t="s">
        <v>44</v>
      </c>
      <c r="C17" s="5" t="s">
        <v>15</v>
      </c>
      <c r="D17" s="9" t="s">
        <v>45</v>
      </c>
      <c r="N17" s="21"/>
      <c r="O17" s="9" t="s">
        <v>249</v>
      </c>
    </row>
    <row r="18" ht="16.5" customHeight="1">
      <c r="A18" s="22"/>
      <c r="B18" s="12"/>
      <c r="C18" s="5"/>
      <c r="D18" s="9"/>
      <c r="N18" s="21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1"/>
      <c r="O19" s="5" t="s">
        <v>251</v>
      </c>
    </row>
    <row r="20" ht="16.5" customHeight="1">
      <c r="A20" s="32" t="s">
        <v>55</v>
      </c>
      <c r="B20" s="33" t="s">
        <v>56</v>
      </c>
      <c r="C20" s="34"/>
      <c r="D20" s="34"/>
      <c r="E20" s="35"/>
      <c r="F20" s="33" t="s">
        <v>57</v>
      </c>
      <c r="G20" s="35"/>
      <c r="H20" s="36" t="s">
        <v>58</v>
      </c>
      <c r="I20" s="37" t="s">
        <v>60</v>
      </c>
      <c r="N20" s="21"/>
      <c r="O20" s="5" t="s">
        <v>252</v>
      </c>
    </row>
    <row r="21" ht="16.5" customHeight="1">
      <c r="A21" s="39">
        <v>1.0</v>
      </c>
      <c r="B21" s="25" t="s">
        <v>193</v>
      </c>
      <c r="C21" s="25"/>
      <c r="D21" s="25"/>
      <c r="E21" s="25"/>
      <c r="F21" s="42">
        <v>17.0</v>
      </c>
      <c r="G21" s="30"/>
      <c r="H21" s="43">
        <v>70.0</v>
      </c>
      <c r="I21" s="47">
        <f t="shared" ref="I21:I34" si="1">F21*H21</f>
        <v>1190</v>
      </c>
      <c r="O21" s="5" t="s">
        <v>253</v>
      </c>
    </row>
    <row r="22" ht="16.5" customHeight="1">
      <c r="A22" s="39">
        <v>2.0</v>
      </c>
      <c r="B22" s="25" t="s">
        <v>198</v>
      </c>
      <c r="C22" s="25"/>
      <c r="D22" s="25"/>
      <c r="E22" s="25"/>
      <c r="F22" s="42">
        <v>3.0</v>
      </c>
      <c r="G22" s="30"/>
      <c r="H22" s="49">
        <v>39.0</v>
      </c>
      <c r="I22" s="47">
        <f t="shared" si="1"/>
        <v>117</v>
      </c>
    </row>
    <row r="23" ht="16.5" customHeight="1">
      <c r="A23" s="39">
        <v>3.0</v>
      </c>
      <c r="B23" s="25" t="s">
        <v>71</v>
      </c>
      <c r="C23" s="25"/>
      <c r="D23" s="25"/>
      <c r="E23" s="25"/>
      <c r="F23" s="42">
        <v>3.0</v>
      </c>
      <c r="G23" s="30"/>
      <c r="H23" s="49">
        <v>30.0</v>
      </c>
      <c r="I23" s="47">
        <f t="shared" si="1"/>
        <v>90</v>
      </c>
    </row>
    <row r="24" ht="16.5" customHeight="1">
      <c r="A24" s="39">
        <v>4.0</v>
      </c>
      <c r="B24" s="25" t="s">
        <v>227</v>
      </c>
      <c r="C24" s="25"/>
      <c r="D24" s="25"/>
      <c r="E24" s="25"/>
      <c r="F24" s="42">
        <v>3.0</v>
      </c>
      <c r="G24" s="30"/>
      <c r="H24" s="50">
        <v>43.0</v>
      </c>
      <c r="I24" s="47">
        <f t="shared" si="1"/>
        <v>129</v>
      </c>
    </row>
    <row r="25" ht="16.5" customHeight="1">
      <c r="A25" s="39">
        <v>5.0</v>
      </c>
      <c r="B25" s="28" t="s">
        <v>194</v>
      </c>
      <c r="C25" s="29"/>
      <c r="D25" s="29"/>
      <c r="E25" s="30"/>
      <c r="F25" s="42">
        <v>6.0</v>
      </c>
      <c r="G25" s="30"/>
      <c r="H25" s="50">
        <v>22.0</v>
      </c>
      <c r="I25" s="47">
        <f t="shared" si="1"/>
        <v>132</v>
      </c>
    </row>
    <row r="26" ht="16.5" customHeight="1">
      <c r="A26" s="39">
        <v>6.0</v>
      </c>
      <c r="B26" s="25" t="s">
        <v>84</v>
      </c>
      <c r="C26" s="25"/>
      <c r="D26" s="25"/>
      <c r="E26" s="25"/>
      <c r="F26" s="42">
        <v>14.0</v>
      </c>
      <c r="G26" s="30"/>
      <c r="H26" s="50">
        <v>26.0</v>
      </c>
      <c r="I26" s="47">
        <f t="shared" si="1"/>
        <v>364</v>
      </c>
    </row>
    <row r="27" ht="16.5" customHeight="1">
      <c r="A27" s="39">
        <v>7.0</v>
      </c>
      <c r="B27" s="25" t="s">
        <v>74</v>
      </c>
      <c r="C27" s="25"/>
      <c r="D27" s="25"/>
      <c r="E27" s="25"/>
      <c r="F27" s="42">
        <v>14.0</v>
      </c>
      <c r="G27" s="30"/>
      <c r="H27" s="50">
        <v>32.0</v>
      </c>
      <c r="I27" s="47">
        <f t="shared" si="1"/>
        <v>448</v>
      </c>
    </row>
    <row r="28" ht="16.5" customHeight="1">
      <c r="A28" s="39">
        <v>8.0</v>
      </c>
      <c r="B28" s="25" t="s">
        <v>97</v>
      </c>
      <c r="C28" s="25"/>
      <c r="D28" s="25"/>
      <c r="E28" s="25"/>
      <c r="F28" s="42">
        <v>5.0</v>
      </c>
      <c r="G28" s="30"/>
      <c r="H28" s="50">
        <v>45.0</v>
      </c>
      <c r="I28" s="47">
        <f t="shared" si="1"/>
        <v>225</v>
      </c>
    </row>
    <row r="29" ht="16.5" customHeight="1">
      <c r="A29" s="39">
        <v>9.0</v>
      </c>
      <c r="B29" s="25" t="s">
        <v>236</v>
      </c>
      <c r="C29" s="25"/>
      <c r="D29" s="25"/>
      <c r="E29" s="25"/>
      <c r="F29" s="42">
        <v>5.0</v>
      </c>
      <c r="G29" s="30"/>
      <c r="H29" s="50">
        <v>45.0</v>
      </c>
      <c r="I29" s="47">
        <f t="shared" si="1"/>
        <v>225</v>
      </c>
    </row>
    <row r="30" ht="16.5" customHeight="1">
      <c r="A30" s="39">
        <v>10.0</v>
      </c>
      <c r="B30" s="48" t="s">
        <v>254</v>
      </c>
      <c r="C30" s="48"/>
      <c r="D30" s="48"/>
      <c r="E30" s="48"/>
      <c r="F30" s="42">
        <v>4.0</v>
      </c>
      <c r="G30" s="30"/>
      <c r="H30" s="50">
        <v>60.0</v>
      </c>
      <c r="I30" s="47">
        <f t="shared" si="1"/>
        <v>240</v>
      </c>
    </row>
    <row r="31" ht="16.5" customHeight="1">
      <c r="A31" s="39">
        <v>11.0</v>
      </c>
      <c r="B31" s="48" t="s">
        <v>213</v>
      </c>
      <c r="C31" s="48"/>
      <c r="D31" s="48"/>
      <c r="E31" s="48"/>
      <c r="F31" s="42">
        <v>2.0</v>
      </c>
      <c r="G31" s="30"/>
      <c r="H31" s="50">
        <v>78.0</v>
      </c>
      <c r="I31" s="47">
        <f t="shared" si="1"/>
        <v>156</v>
      </c>
    </row>
    <row r="32" ht="16.5" customHeight="1">
      <c r="A32" s="39">
        <v>12.0</v>
      </c>
      <c r="B32" s="48" t="s">
        <v>239</v>
      </c>
      <c r="C32" s="48"/>
      <c r="D32" s="48"/>
      <c r="E32" s="48"/>
      <c r="F32" s="42">
        <v>9.0</v>
      </c>
      <c r="G32" s="30"/>
      <c r="H32" s="50">
        <v>30.0</v>
      </c>
      <c r="I32" s="47">
        <f t="shared" si="1"/>
        <v>270</v>
      </c>
    </row>
    <row r="33" ht="16.5" customHeight="1">
      <c r="A33" s="39">
        <v>13.0</v>
      </c>
      <c r="B33" s="48" t="s">
        <v>191</v>
      </c>
      <c r="C33" s="48"/>
      <c r="D33" s="48"/>
      <c r="E33" s="48"/>
      <c r="F33" s="42">
        <v>5.0</v>
      </c>
      <c r="G33" s="30"/>
      <c r="H33" s="50">
        <v>40.0</v>
      </c>
      <c r="I33" s="47">
        <f t="shared" si="1"/>
        <v>200</v>
      </c>
    </row>
    <row r="34" ht="16.5" customHeight="1">
      <c r="A34" s="39">
        <v>14.0</v>
      </c>
      <c r="B34" s="51" t="s">
        <v>90</v>
      </c>
      <c r="C34" s="29"/>
      <c r="D34" s="29"/>
      <c r="E34" s="30"/>
      <c r="F34" s="42">
        <f>SUM(F21:G33)/30</f>
        <v>3</v>
      </c>
      <c r="G34" s="30"/>
      <c r="H34" s="49">
        <v>120.0</v>
      </c>
      <c r="I34" s="47">
        <f t="shared" si="1"/>
        <v>360</v>
      </c>
    </row>
    <row r="35" ht="16.5" customHeight="1">
      <c r="A35" s="52" t="s">
        <v>93</v>
      </c>
      <c r="B35" s="53"/>
      <c r="C35" s="53"/>
      <c r="D35" s="53"/>
      <c r="E35" s="53"/>
      <c r="F35" s="53">
        <f>SUM(F21:G33)</f>
        <v>90</v>
      </c>
      <c r="G35" s="53"/>
      <c r="H35" s="54" t="s">
        <v>98</v>
      </c>
      <c r="I35" s="55">
        <f>SUM(I21:I34)</f>
        <v>4146</v>
      </c>
    </row>
    <row r="36" ht="28.5" customHeight="1">
      <c r="A36" s="56" t="s">
        <v>102</v>
      </c>
      <c r="B36" s="9"/>
      <c r="C36" s="9"/>
      <c r="D36" s="9"/>
      <c r="E36" s="9"/>
      <c r="F36" s="9"/>
      <c r="G36" s="9"/>
      <c r="H36" s="9"/>
    </row>
    <row r="37" ht="16.5" customHeight="1">
      <c r="A37" s="9"/>
      <c r="E37" s="9"/>
    </row>
    <row r="38" ht="16.5" customHeight="1">
      <c r="A38" s="58" t="s">
        <v>104</v>
      </c>
      <c r="B38" s="9"/>
      <c r="C38" s="9"/>
      <c r="E38" s="9"/>
    </row>
    <row r="39" ht="7.5" customHeight="1">
      <c r="L39" s="10"/>
      <c r="M39" s="10"/>
      <c r="N39" s="9"/>
      <c r="P39" s="9"/>
    </row>
    <row r="40" ht="16.5" customHeight="1">
      <c r="A40" s="61" t="s">
        <v>105</v>
      </c>
      <c r="B40" s="62"/>
      <c r="C40" s="5" t="s">
        <v>15</v>
      </c>
      <c r="D40" s="9" t="s">
        <v>107</v>
      </c>
      <c r="F40" s="62"/>
      <c r="K40" s="63"/>
      <c r="L40" s="10"/>
      <c r="M40" s="10"/>
      <c r="N40" s="9"/>
      <c r="P40" s="9"/>
    </row>
    <row r="41" ht="16.5" customHeight="1">
      <c r="A41" s="61" t="s">
        <v>108</v>
      </c>
      <c r="C41" s="5" t="s">
        <v>15</v>
      </c>
      <c r="D41" s="9" t="s">
        <v>107</v>
      </c>
      <c r="L41" s="10"/>
      <c r="M41" s="10"/>
      <c r="N41" s="9"/>
    </row>
    <row r="42" ht="16.5" customHeight="1">
      <c r="D42" s="9" t="s">
        <v>109</v>
      </c>
      <c r="L42" s="10"/>
      <c r="M42" s="10"/>
      <c r="N42" s="9"/>
    </row>
    <row r="43" ht="16.5" customHeight="1">
      <c r="L43" s="10"/>
      <c r="M43" s="62"/>
      <c r="Q43" s="62"/>
    </row>
    <row r="44" ht="16.5" customHeight="1">
      <c r="A44" s="62"/>
      <c r="B44" s="62"/>
    </row>
    <row r="45" ht="16.5" customHeight="1"/>
    <row r="46" ht="16.5" customHeight="1">
      <c r="A46" s="9"/>
      <c r="D46" s="9"/>
      <c r="F46" s="62"/>
    </row>
    <row r="47" ht="16.5" customHeight="1">
      <c r="A47" s="9"/>
      <c r="D47" s="9"/>
      <c r="F47" s="62"/>
    </row>
    <row r="48" ht="16.5" customHeight="1"/>
    <row r="49" ht="16.5" customHeight="1"/>
    <row r="50" ht="16.5" customHeight="1">
      <c r="H50" s="23"/>
      <c r="I50" s="66"/>
      <c r="J50" s="66"/>
    </row>
    <row r="51" ht="16.5" customHeight="1">
      <c r="E51" s="68" t="s">
        <v>117</v>
      </c>
      <c r="F51" s="69"/>
      <c r="G51" s="69"/>
      <c r="H51" s="69"/>
      <c r="I51" s="69"/>
    </row>
    <row r="52" ht="16.5" customHeight="1"/>
    <row r="53" ht="16.5" customHeight="1">
      <c r="A53" s="70"/>
    </row>
    <row r="54" ht="16.5" customHeight="1">
      <c r="A54" s="70"/>
    </row>
    <row r="55" ht="16.5" customHeight="1">
      <c r="A55" s="26"/>
    </row>
    <row r="56" ht="16.5" customHeight="1">
      <c r="A56" s="71"/>
    </row>
    <row r="57" ht="16.5" customHeight="1"/>
    <row r="58" ht="16.5" customHeight="1"/>
    <row r="59" ht="16.5" customHeight="1"/>
    <row r="60" ht="16.5" customHeight="1"/>
    <row r="61" ht="16.5" customHeight="1">
      <c r="B61" s="8"/>
      <c r="C61" s="72" t="s">
        <v>124</v>
      </c>
      <c r="D61" s="73"/>
      <c r="E61" s="73"/>
      <c r="F61" s="73"/>
      <c r="G61" s="8"/>
      <c r="H61" s="8"/>
      <c r="I61" s="8"/>
      <c r="J61" s="74"/>
    </row>
    <row r="62" ht="16.5" customHeight="1">
      <c r="B62" s="8"/>
      <c r="C62" s="8" t="s">
        <v>126</v>
      </c>
      <c r="J62" s="75">
        <v>35000.0</v>
      </c>
    </row>
    <row r="63" ht="16.5" customHeight="1">
      <c r="B63" s="8"/>
      <c r="C63" s="8" t="s">
        <v>127</v>
      </c>
      <c r="J63" s="75">
        <v>40000.0</v>
      </c>
    </row>
    <row r="64" ht="16.5" customHeight="1">
      <c r="B64" s="8"/>
      <c r="C64" s="8" t="s">
        <v>128</v>
      </c>
      <c r="D64" s="8"/>
      <c r="E64" s="8"/>
      <c r="F64" s="8"/>
      <c r="G64" s="8"/>
      <c r="H64" s="8"/>
      <c r="I64" s="8"/>
      <c r="J64" s="75">
        <v>65000.0</v>
      </c>
    </row>
    <row r="65" ht="16.5" customHeight="1">
      <c r="B65" s="8"/>
      <c r="C65" s="8" t="s">
        <v>129</v>
      </c>
      <c r="D65" s="8"/>
      <c r="E65" s="8"/>
      <c r="F65" s="8"/>
      <c r="G65" s="8"/>
      <c r="H65" s="8"/>
      <c r="I65" s="8"/>
      <c r="J65" s="75">
        <v>65000.0</v>
      </c>
    </row>
    <row r="66" ht="16.5" customHeight="1">
      <c r="B66" s="8"/>
      <c r="C66" s="8" t="s">
        <v>130</v>
      </c>
      <c r="D66" s="8"/>
      <c r="E66" s="8"/>
      <c r="F66" s="8"/>
      <c r="G66" s="8"/>
      <c r="H66" s="8"/>
      <c r="I66" s="8"/>
      <c r="J66" s="75">
        <v>35000.0</v>
      </c>
    </row>
    <row r="67" ht="16.5" customHeight="1">
      <c r="B67" s="8"/>
      <c r="C67" s="8" t="s">
        <v>131</v>
      </c>
      <c r="D67" s="8"/>
      <c r="E67" s="8"/>
      <c r="F67" s="8"/>
      <c r="G67" s="8"/>
      <c r="H67" s="8"/>
      <c r="I67" s="8"/>
      <c r="J67" s="75">
        <v>37000.0</v>
      </c>
    </row>
    <row r="68" ht="16.5" customHeight="1">
      <c r="B68" s="8"/>
      <c r="C68" s="8" t="s">
        <v>133</v>
      </c>
      <c r="D68" s="8"/>
      <c r="E68" s="8"/>
      <c r="F68" s="8"/>
      <c r="G68" s="8"/>
      <c r="H68" s="8"/>
      <c r="I68" s="8"/>
      <c r="J68" s="75">
        <v>32000.0</v>
      </c>
    </row>
    <row r="69" ht="16.5" customHeight="1">
      <c r="B69" s="8"/>
      <c r="C69" s="8" t="s">
        <v>134</v>
      </c>
      <c r="G69" s="8"/>
      <c r="H69" s="8"/>
      <c r="I69" s="8"/>
      <c r="J69" s="75">
        <v>55000.0</v>
      </c>
    </row>
    <row r="70" ht="16.5" customHeight="1">
      <c r="B70" s="8"/>
      <c r="C70" s="8" t="s">
        <v>135</v>
      </c>
      <c r="D70" s="8"/>
      <c r="E70" s="8"/>
      <c r="F70" s="8"/>
      <c r="G70" s="8"/>
      <c r="H70" s="8"/>
      <c r="I70" s="8"/>
      <c r="J70" s="75">
        <v>60000.0</v>
      </c>
    </row>
    <row r="71" ht="16.5" customHeight="1">
      <c r="B71" s="8"/>
      <c r="C71" s="8" t="s">
        <v>136</v>
      </c>
      <c r="D71" s="8"/>
      <c r="E71" s="8"/>
      <c r="F71" s="8"/>
      <c r="G71" s="8"/>
      <c r="H71" s="8"/>
      <c r="I71" s="8"/>
      <c r="J71" s="75">
        <v>40000.0</v>
      </c>
    </row>
    <row r="72" ht="16.5" customHeight="1">
      <c r="B72" s="8"/>
      <c r="C72" s="8" t="s">
        <v>137</v>
      </c>
      <c r="D72" s="8"/>
      <c r="E72" s="8"/>
      <c r="F72" s="8"/>
      <c r="G72" s="8"/>
      <c r="H72" s="8"/>
      <c r="I72" s="8"/>
      <c r="J72" s="75">
        <v>27000.0</v>
      </c>
    </row>
    <row r="73" ht="16.5" customHeight="1">
      <c r="B73" s="8"/>
      <c r="C73" s="8" t="s">
        <v>138</v>
      </c>
      <c r="D73" s="8"/>
      <c r="E73" s="8"/>
      <c r="F73" s="8"/>
      <c r="G73" s="8"/>
      <c r="H73" s="8"/>
      <c r="I73" s="8"/>
      <c r="J73" s="75">
        <v>32000.0</v>
      </c>
    </row>
    <row r="74" ht="16.5" customHeight="1">
      <c r="B74" s="8"/>
      <c r="C74" s="8" t="s">
        <v>139</v>
      </c>
      <c r="D74" s="8"/>
      <c r="E74" s="8"/>
      <c r="F74" s="8"/>
      <c r="G74" s="8"/>
      <c r="H74" s="8"/>
      <c r="I74" s="8"/>
      <c r="J74" s="75">
        <v>27000.0</v>
      </c>
    </row>
    <row r="75" ht="16.5" customHeight="1">
      <c r="B75" s="8"/>
      <c r="C75" s="8" t="s">
        <v>140</v>
      </c>
      <c r="D75" s="8"/>
      <c r="E75" s="8"/>
      <c r="F75" s="8"/>
      <c r="G75" s="8"/>
      <c r="H75" s="8"/>
      <c r="I75" s="8"/>
      <c r="J75" s="75">
        <v>110000.0</v>
      </c>
    </row>
    <row r="76" ht="16.5" customHeight="1">
      <c r="B76" s="8"/>
      <c r="C76" s="8" t="s">
        <v>142</v>
      </c>
      <c r="D76" s="8"/>
      <c r="E76" s="8"/>
      <c r="F76" s="8"/>
      <c r="G76" s="8"/>
      <c r="H76" s="8"/>
      <c r="I76" s="8"/>
      <c r="J76" s="75">
        <v>30000.0</v>
      </c>
    </row>
    <row r="77" ht="16.5" customHeight="1">
      <c r="B77" s="8"/>
      <c r="C77" s="8" t="s">
        <v>143</v>
      </c>
      <c r="D77" s="8"/>
      <c r="E77" s="8"/>
      <c r="F77" s="8"/>
      <c r="G77" s="8"/>
      <c r="H77" s="8"/>
      <c r="I77" s="8"/>
      <c r="J77" s="75">
        <v>27000.0</v>
      </c>
    </row>
    <row r="78" ht="16.5" customHeight="1">
      <c r="B78" s="8"/>
      <c r="C78" s="8" t="s">
        <v>144</v>
      </c>
      <c r="D78" s="8"/>
      <c r="E78" s="8"/>
      <c r="F78" s="8"/>
      <c r="G78" s="8"/>
      <c r="H78" s="8"/>
      <c r="I78" s="8"/>
      <c r="J78" s="75">
        <v>33000.0</v>
      </c>
    </row>
    <row r="79" ht="16.5" customHeight="1">
      <c r="B79" s="8"/>
      <c r="C79" s="8" t="s">
        <v>145</v>
      </c>
      <c r="D79" s="8"/>
      <c r="E79" s="8"/>
      <c r="F79" s="8"/>
      <c r="G79" s="8"/>
      <c r="H79" s="8"/>
      <c r="I79" s="8"/>
      <c r="J79" s="75">
        <v>35000.0</v>
      </c>
    </row>
    <row r="80" ht="16.5" customHeight="1">
      <c r="B80" s="8"/>
      <c r="C80" s="8" t="s">
        <v>146</v>
      </c>
      <c r="D80" s="8"/>
      <c r="E80" s="8"/>
      <c r="F80" s="8"/>
      <c r="G80" s="8"/>
      <c r="H80" s="8"/>
      <c r="I80" s="8"/>
      <c r="J80" s="75">
        <v>33000.0</v>
      </c>
    </row>
    <row r="81" ht="16.5" customHeight="1">
      <c r="B81" s="8"/>
      <c r="C81" s="8" t="s">
        <v>147</v>
      </c>
      <c r="D81" s="8"/>
      <c r="E81" s="8"/>
      <c r="F81" s="8"/>
      <c r="G81" s="8"/>
      <c r="H81" s="8"/>
      <c r="I81" s="8"/>
      <c r="J81" s="75">
        <v>33000.0</v>
      </c>
    </row>
    <row r="82" ht="16.5" customHeight="1">
      <c r="B82" s="8"/>
      <c r="C82" s="8" t="s">
        <v>148</v>
      </c>
      <c r="D82" s="8"/>
      <c r="E82" s="8"/>
      <c r="F82" s="8"/>
      <c r="G82" s="8"/>
      <c r="H82" s="8"/>
      <c r="I82" s="8"/>
      <c r="J82" s="75">
        <v>35000.0</v>
      </c>
    </row>
    <row r="83" ht="16.5" customHeight="1">
      <c r="B83" s="8"/>
      <c r="C83" s="8" t="s">
        <v>149</v>
      </c>
      <c r="D83" s="8"/>
      <c r="E83" s="8"/>
      <c r="F83" s="8"/>
      <c r="G83" s="8"/>
      <c r="H83" s="8"/>
      <c r="I83" s="8"/>
      <c r="J83" s="75">
        <v>33000.0</v>
      </c>
    </row>
    <row r="84" ht="16.5" customHeight="1">
      <c r="B84" s="8"/>
      <c r="C84" s="8" t="s">
        <v>150</v>
      </c>
      <c r="D84" s="8"/>
      <c r="E84" s="8"/>
      <c r="F84" s="8"/>
      <c r="G84" s="8"/>
      <c r="H84" s="8"/>
      <c r="I84" s="8"/>
      <c r="J84" s="75">
        <v>33000.0</v>
      </c>
    </row>
    <row r="85" ht="16.5" customHeight="1">
      <c r="B85" s="8"/>
      <c r="C85" s="8" t="s">
        <v>151</v>
      </c>
      <c r="D85" s="8"/>
      <c r="E85" s="8"/>
      <c r="F85" s="8"/>
      <c r="G85" s="8"/>
      <c r="H85" s="8"/>
      <c r="I85" s="8"/>
      <c r="J85" s="75">
        <v>32000.0</v>
      </c>
    </row>
    <row r="86" ht="16.5" customHeight="1">
      <c r="B86" s="8"/>
      <c r="C86" s="8" t="s">
        <v>153</v>
      </c>
      <c r="D86" s="8"/>
      <c r="E86" s="8"/>
      <c r="F86" s="8"/>
      <c r="G86" s="8"/>
      <c r="H86" s="8"/>
      <c r="I86" s="8"/>
      <c r="J86" s="75">
        <v>33000.0</v>
      </c>
    </row>
    <row r="87" ht="16.5" customHeight="1">
      <c r="B87" s="8"/>
      <c r="C87" s="8" t="s">
        <v>154</v>
      </c>
      <c r="D87" s="8"/>
      <c r="E87" s="8"/>
      <c r="F87" s="8"/>
      <c r="G87" s="8"/>
      <c r="H87" s="8"/>
      <c r="I87" s="8"/>
      <c r="J87" s="75">
        <v>40000.0</v>
      </c>
    </row>
    <row r="88" ht="16.5" customHeight="1">
      <c r="B88" s="8"/>
      <c r="C88" s="8" t="s">
        <v>155</v>
      </c>
      <c r="D88" s="8"/>
      <c r="E88" s="8"/>
      <c r="F88" s="8"/>
      <c r="G88" s="8"/>
      <c r="H88" s="8"/>
      <c r="I88" s="8"/>
      <c r="J88" s="75">
        <v>35000.0</v>
      </c>
    </row>
    <row r="89" ht="16.5" customHeight="1">
      <c r="B89" s="8"/>
      <c r="C89" s="8" t="s">
        <v>156</v>
      </c>
      <c r="D89" s="8"/>
      <c r="E89" s="8"/>
      <c r="F89" s="8"/>
      <c r="G89" s="8"/>
      <c r="H89" s="8"/>
      <c r="I89" s="8"/>
      <c r="J89" s="74"/>
    </row>
    <row r="90" ht="16.5" customHeight="1">
      <c r="B90" s="8"/>
      <c r="C90" s="8" t="s">
        <v>157</v>
      </c>
      <c r="D90" s="8"/>
      <c r="E90" s="8"/>
      <c r="F90" s="8"/>
      <c r="G90" s="8"/>
      <c r="H90" s="8"/>
      <c r="I90" s="8"/>
      <c r="J90" s="74"/>
    </row>
    <row r="91" ht="16.5" customHeight="1">
      <c r="B91" s="8"/>
      <c r="C91" s="8" t="s">
        <v>158</v>
      </c>
      <c r="D91" s="8"/>
      <c r="E91" s="8"/>
      <c r="F91" s="8"/>
      <c r="G91" s="8"/>
      <c r="H91" s="8"/>
      <c r="I91" s="8"/>
      <c r="J91" s="74"/>
    </row>
    <row r="92" ht="16.5" customHeight="1">
      <c r="B92" s="8"/>
      <c r="C92" s="8" t="s">
        <v>159</v>
      </c>
      <c r="D92" s="8"/>
      <c r="E92" s="8"/>
      <c r="F92" s="8"/>
      <c r="G92" s="8"/>
      <c r="H92" s="8"/>
      <c r="I92" s="8"/>
      <c r="J92" s="75">
        <v>35000.0</v>
      </c>
    </row>
    <row r="93" ht="16.5" customHeight="1">
      <c r="B93" s="8"/>
      <c r="C93" s="8" t="s">
        <v>160</v>
      </c>
      <c r="D93" s="8"/>
      <c r="E93" s="8"/>
      <c r="F93" s="8"/>
      <c r="G93" s="8"/>
      <c r="H93" s="8"/>
      <c r="I93" s="8"/>
      <c r="J93" s="75">
        <v>30000.0</v>
      </c>
    </row>
    <row r="94" ht="16.5" customHeight="1">
      <c r="B94" s="8"/>
      <c r="C94" s="8" t="s">
        <v>161</v>
      </c>
      <c r="D94" s="8"/>
      <c r="E94" s="8"/>
      <c r="F94" s="8"/>
      <c r="G94" s="8"/>
      <c r="H94" s="8"/>
      <c r="I94" s="8"/>
      <c r="J94" s="75">
        <v>65000.0</v>
      </c>
    </row>
    <row r="95" ht="16.5" customHeight="1">
      <c r="B95" s="8"/>
      <c r="C95" s="8" t="s">
        <v>163</v>
      </c>
      <c r="D95" s="8"/>
      <c r="E95" s="8"/>
      <c r="F95" s="8"/>
      <c r="G95" s="8"/>
      <c r="H95" s="8"/>
      <c r="I95" s="8"/>
      <c r="J95" s="75">
        <v>33000.0</v>
      </c>
    </row>
    <row r="96" ht="16.5" customHeight="1">
      <c r="B96" s="8"/>
      <c r="C96" s="8" t="s">
        <v>164</v>
      </c>
      <c r="D96" s="8"/>
      <c r="E96" s="8"/>
      <c r="F96" s="8"/>
      <c r="G96" s="8"/>
      <c r="H96" s="8"/>
      <c r="I96" s="8"/>
      <c r="J96" s="75">
        <v>40000.0</v>
      </c>
    </row>
    <row r="97" ht="16.5" customHeight="1">
      <c r="B97" s="8"/>
      <c r="C97" s="8" t="s">
        <v>165</v>
      </c>
      <c r="D97" s="8"/>
      <c r="E97" s="8"/>
      <c r="F97" s="8"/>
      <c r="G97" s="8"/>
      <c r="H97" s="8"/>
      <c r="I97" s="8"/>
      <c r="J97" s="74"/>
    </row>
    <row r="98" ht="16.5" customHeight="1">
      <c r="B98" s="8"/>
      <c r="C98" s="8" t="s">
        <v>166</v>
      </c>
      <c r="D98" s="8"/>
      <c r="E98" s="8"/>
      <c r="F98" s="8"/>
      <c r="G98" s="8"/>
      <c r="H98" s="8"/>
      <c r="I98" s="8"/>
      <c r="J98" s="74"/>
    </row>
    <row r="99" ht="16.5" customHeight="1">
      <c r="B99" s="8"/>
      <c r="C99" s="8" t="s">
        <v>167</v>
      </c>
      <c r="D99" s="8"/>
      <c r="E99" s="8"/>
      <c r="F99" s="8"/>
      <c r="G99" s="8"/>
      <c r="H99" s="8"/>
      <c r="I99" s="8"/>
      <c r="J99" s="74"/>
    </row>
    <row r="100" ht="16.5" customHeight="1">
      <c r="B100" s="8"/>
      <c r="C100" s="8" t="s">
        <v>168</v>
      </c>
      <c r="D100" s="8"/>
      <c r="E100" s="8"/>
      <c r="F100" s="8"/>
      <c r="G100" s="8"/>
      <c r="H100" s="8"/>
      <c r="I100" s="8"/>
      <c r="J100" s="74"/>
    </row>
    <row r="101" ht="16.5" customHeight="1">
      <c r="B101" s="8"/>
      <c r="C101" s="8" t="s">
        <v>169</v>
      </c>
      <c r="D101" s="8"/>
      <c r="E101" s="8"/>
      <c r="F101" s="8"/>
      <c r="G101" s="8"/>
      <c r="H101" s="8"/>
      <c r="I101" s="8"/>
      <c r="J101" s="74"/>
    </row>
    <row r="102" ht="16.5" customHeight="1">
      <c r="B102" s="8"/>
      <c r="C102" s="8" t="s">
        <v>170</v>
      </c>
      <c r="D102" s="8"/>
      <c r="E102" s="8"/>
      <c r="F102" s="8"/>
      <c r="G102" s="8"/>
      <c r="H102" s="8"/>
      <c r="I102" s="8"/>
      <c r="J102" s="74"/>
    </row>
    <row r="103" ht="16.5" customHeight="1">
      <c r="B103" s="8"/>
      <c r="C103" s="8" t="s">
        <v>171</v>
      </c>
      <c r="D103" s="8"/>
      <c r="E103" s="8"/>
      <c r="F103" s="8"/>
      <c r="G103" s="8"/>
      <c r="H103" s="8"/>
      <c r="I103" s="8"/>
      <c r="J103" s="74"/>
    </row>
    <row r="104" ht="16.5" customHeight="1">
      <c r="B104" s="8"/>
      <c r="C104" s="8" t="s">
        <v>173</v>
      </c>
      <c r="D104" s="8"/>
      <c r="E104" s="8"/>
      <c r="F104" s="8"/>
      <c r="G104" s="8"/>
      <c r="H104" s="8"/>
      <c r="I104" s="8"/>
      <c r="J104" s="74"/>
    </row>
    <row r="105" ht="16.5" customHeight="1">
      <c r="B105" s="8"/>
      <c r="C105" s="8" t="s">
        <v>174</v>
      </c>
      <c r="D105" s="8"/>
      <c r="E105" s="8"/>
      <c r="F105" s="8"/>
      <c r="G105" s="8"/>
      <c r="H105" s="8"/>
      <c r="I105" s="8"/>
      <c r="J105" s="74"/>
    </row>
    <row r="106" ht="16.5" customHeight="1">
      <c r="B106" s="8"/>
      <c r="C106" s="8" t="s">
        <v>175</v>
      </c>
      <c r="D106" s="8"/>
      <c r="E106" s="8"/>
      <c r="F106" s="8"/>
      <c r="G106" s="8"/>
      <c r="H106" s="8"/>
      <c r="I106" s="8"/>
      <c r="J106" s="74"/>
    </row>
    <row r="107" ht="16.5" customHeight="1">
      <c r="B107" s="8"/>
      <c r="C107" s="8" t="s">
        <v>176</v>
      </c>
      <c r="D107" s="8"/>
      <c r="E107" s="8"/>
      <c r="F107" s="8"/>
      <c r="G107" s="8"/>
      <c r="H107" s="8"/>
      <c r="I107" s="8"/>
      <c r="J107" s="74"/>
    </row>
    <row r="108" ht="16.5" customHeight="1">
      <c r="B108" s="8"/>
      <c r="C108" s="8" t="s">
        <v>177</v>
      </c>
      <c r="D108" s="8"/>
      <c r="E108" s="8"/>
      <c r="F108" s="8"/>
      <c r="G108" s="8"/>
      <c r="H108" s="8"/>
      <c r="I108" s="8"/>
      <c r="J108" s="74"/>
    </row>
    <row r="109" ht="16.5" customHeight="1">
      <c r="B109" s="8"/>
      <c r="C109" s="8" t="s">
        <v>178</v>
      </c>
      <c r="D109" s="8"/>
      <c r="E109" s="8"/>
      <c r="F109" s="8"/>
      <c r="G109" s="8"/>
      <c r="H109" s="8"/>
      <c r="I109" s="8"/>
      <c r="J109" s="74"/>
    </row>
    <row r="110" ht="16.5" customHeight="1">
      <c r="B110" s="8"/>
      <c r="C110" s="8" t="s">
        <v>179</v>
      </c>
      <c r="D110" s="8"/>
      <c r="E110" s="8"/>
      <c r="F110" s="8"/>
      <c r="G110" s="8"/>
      <c r="H110" s="8"/>
      <c r="I110" s="8"/>
      <c r="J110" s="74"/>
    </row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F22:G22"/>
    <mergeCell ref="F23:G23"/>
    <mergeCell ref="F24:G24"/>
    <mergeCell ref="B25:E25"/>
    <mergeCell ref="F32:G32"/>
    <mergeCell ref="F33:G33"/>
    <mergeCell ref="B34:E34"/>
    <mergeCell ref="F34:G34"/>
    <mergeCell ref="C62:I62"/>
    <mergeCell ref="C63:I63"/>
    <mergeCell ref="C69:F69"/>
    <mergeCell ref="F25:G25"/>
    <mergeCell ref="F26:G26"/>
    <mergeCell ref="F27:G27"/>
    <mergeCell ref="F28:G28"/>
    <mergeCell ref="F29:G29"/>
    <mergeCell ref="F30:G30"/>
    <mergeCell ref="F31:G31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9" t="s">
        <v>6</v>
      </c>
      <c r="B7" s="9"/>
      <c r="C7" s="9"/>
      <c r="D7" s="10"/>
      <c r="E7" s="9"/>
      <c r="F7" s="9"/>
      <c r="G7" s="9"/>
      <c r="H7" s="78" t="s">
        <v>255</v>
      </c>
      <c r="I7" s="9"/>
      <c r="J7" s="9"/>
      <c r="L7" s="5"/>
    </row>
    <row r="8" ht="16.5" customHeight="1">
      <c r="A8" s="12" t="s">
        <v>10</v>
      </c>
      <c r="E8" s="9"/>
      <c r="F8" s="9"/>
      <c r="G8" s="9"/>
      <c r="H8" s="9"/>
      <c r="I8" s="9"/>
      <c r="J8" s="9"/>
      <c r="L8" s="5"/>
    </row>
    <row r="9" ht="16.5" customHeight="1">
      <c r="A9" s="14" t="s">
        <v>12</v>
      </c>
      <c r="C9" s="9"/>
      <c r="D9" s="9"/>
      <c r="E9" s="9"/>
      <c r="F9" s="9"/>
      <c r="G9" s="9"/>
      <c r="H9" s="15"/>
      <c r="I9" s="9"/>
      <c r="J9" s="9"/>
      <c r="N9" s="16"/>
    </row>
    <row r="10" ht="34.5" customHeight="1">
      <c r="A10" s="17" t="s">
        <v>13</v>
      </c>
      <c r="K10" s="18"/>
      <c r="L10" s="19"/>
      <c r="M10" s="18"/>
      <c r="N10" s="16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16.5" customHeight="1">
      <c r="A11" s="20"/>
      <c r="N11" s="21"/>
      <c r="O11" s="5" t="s">
        <v>242</v>
      </c>
    </row>
    <row r="12" ht="16.5" customHeight="1">
      <c r="A12" s="22"/>
      <c r="B12" s="12" t="s">
        <v>14</v>
      </c>
      <c r="C12" s="5" t="s">
        <v>15</v>
      </c>
      <c r="D12" s="12" t="s">
        <v>256</v>
      </c>
      <c r="K12" s="23"/>
      <c r="L12" s="24"/>
      <c r="N12" s="21"/>
      <c r="O12" s="5" t="s">
        <v>244</v>
      </c>
    </row>
    <row r="13" ht="16.5" customHeight="1">
      <c r="A13" s="22"/>
      <c r="B13" s="12" t="s">
        <v>23</v>
      </c>
      <c r="C13" s="5" t="s">
        <v>15</v>
      </c>
      <c r="D13" s="9" t="s">
        <v>24</v>
      </c>
      <c r="N13" s="21"/>
      <c r="O13" s="9" t="s">
        <v>245</v>
      </c>
    </row>
    <row r="14" ht="16.5" customHeight="1">
      <c r="A14" s="22"/>
      <c r="B14" s="12" t="s">
        <v>28</v>
      </c>
      <c r="C14" s="5" t="s">
        <v>15</v>
      </c>
      <c r="D14" s="9" t="s">
        <v>29</v>
      </c>
      <c r="N14" s="21"/>
      <c r="O14" s="9" t="s">
        <v>246</v>
      </c>
    </row>
    <row r="15" ht="16.5" customHeight="1">
      <c r="A15" s="22"/>
      <c r="B15" s="12" t="s">
        <v>33</v>
      </c>
      <c r="C15" s="5" t="s">
        <v>15</v>
      </c>
      <c r="D15" s="9" t="s">
        <v>34</v>
      </c>
      <c r="H15" s="5" t="s">
        <v>35</v>
      </c>
      <c r="N15" s="21"/>
      <c r="O15" s="9" t="s">
        <v>247</v>
      </c>
    </row>
    <row r="16" ht="16.5" customHeight="1">
      <c r="A16" s="22"/>
      <c r="B16" s="12" t="s">
        <v>38</v>
      </c>
      <c r="C16" s="5" t="s">
        <v>15</v>
      </c>
      <c r="D16" s="9" t="s">
        <v>39</v>
      </c>
      <c r="E16" s="5" t="s">
        <v>40</v>
      </c>
      <c r="N16" s="21"/>
      <c r="O16" s="9" t="s">
        <v>248</v>
      </c>
    </row>
    <row r="17" ht="16.5" customHeight="1">
      <c r="A17" s="22"/>
      <c r="B17" s="12" t="s">
        <v>44</v>
      </c>
      <c r="C17" s="5" t="s">
        <v>15</v>
      </c>
      <c r="D17" s="9" t="s">
        <v>45</v>
      </c>
      <c r="N17" s="21"/>
      <c r="O17" s="9" t="s">
        <v>249</v>
      </c>
    </row>
    <row r="18" ht="16.5" customHeight="1">
      <c r="A18" s="22"/>
      <c r="B18" s="12"/>
      <c r="C18" s="5"/>
      <c r="D18" s="9"/>
      <c r="N18" s="21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1"/>
      <c r="O19" s="5" t="s">
        <v>251</v>
      </c>
    </row>
    <row r="20" ht="16.5" customHeight="1">
      <c r="A20" s="32" t="s">
        <v>55</v>
      </c>
      <c r="B20" s="33" t="s">
        <v>56</v>
      </c>
      <c r="C20" s="34"/>
      <c r="D20" s="34"/>
      <c r="E20" s="35"/>
      <c r="F20" s="33" t="s">
        <v>57</v>
      </c>
      <c r="G20" s="35"/>
      <c r="H20" s="36" t="s">
        <v>58</v>
      </c>
      <c r="I20" s="37" t="s">
        <v>60</v>
      </c>
      <c r="N20" s="21"/>
      <c r="O20" s="5" t="s">
        <v>252</v>
      </c>
    </row>
    <row r="21" ht="16.5" customHeight="1">
      <c r="A21" s="39">
        <v>1.0</v>
      </c>
      <c r="B21" s="25" t="s">
        <v>193</v>
      </c>
      <c r="C21" s="25"/>
      <c r="D21" s="25"/>
      <c r="E21" s="25"/>
      <c r="F21" s="42">
        <v>14.0</v>
      </c>
      <c r="G21" s="30"/>
      <c r="H21" s="43">
        <v>57.0</v>
      </c>
      <c r="I21" s="47">
        <f t="shared" ref="I21:I30" si="1">F21*H21</f>
        <v>798</v>
      </c>
      <c r="O21" s="5" t="s">
        <v>253</v>
      </c>
    </row>
    <row r="22" ht="16.5" customHeight="1">
      <c r="A22" s="39">
        <v>2.0</v>
      </c>
      <c r="B22" s="25" t="s">
        <v>227</v>
      </c>
      <c r="C22" s="25"/>
      <c r="D22" s="25"/>
      <c r="E22" s="25"/>
      <c r="F22" s="42">
        <v>4.0</v>
      </c>
      <c r="G22" s="30"/>
      <c r="H22" s="49">
        <v>43.0</v>
      </c>
      <c r="I22" s="47">
        <f t="shared" si="1"/>
        <v>172</v>
      </c>
    </row>
    <row r="23" ht="16.5" customHeight="1">
      <c r="A23" s="39">
        <v>3.0</v>
      </c>
      <c r="B23" s="25" t="s">
        <v>194</v>
      </c>
      <c r="C23" s="25"/>
      <c r="D23" s="25"/>
      <c r="E23" s="25"/>
      <c r="F23" s="42">
        <v>4.0</v>
      </c>
      <c r="G23" s="30"/>
      <c r="H23" s="49">
        <v>22.0</v>
      </c>
      <c r="I23" s="47">
        <f t="shared" si="1"/>
        <v>88</v>
      </c>
    </row>
    <row r="24" ht="16.5" customHeight="1">
      <c r="A24" s="39">
        <v>4.0</v>
      </c>
      <c r="B24" s="25" t="s">
        <v>84</v>
      </c>
      <c r="C24" s="25"/>
      <c r="D24" s="25"/>
      <c r="E24" s="25"/>
      <c r="F24" s="42">
        <v>20.0</v>
      </c>
      <c r="G24" s="30"/>
      <c r="H24" s="50">
        <v>26.0</v>
      </c>
      <c r="I24" s="47">
        <f t="shared" si="1"/>
        <v>520</v>
      </c>
    </row>
    <row r="25" ht="16.5" customHeight="1">
      <c r="A25" s="39">
        <v>5.0</v>
      </c>
      <c r="B25" s="28" t="s">
        <v>74</v>
      </c>
      <c r="C25" s="29"/>
      <c r="D25" s="29"/>
      <c r="E25" s="30"/>
      <c r="F25" s="42">
        <v>20.0</v>
      </c>
      <c r="G25" s="30"/>
      <c r="H25" s="50">
        <v>32.0</v>
      </c>
      <c r="I25" s="47">
        <f t="shared" si="1"/>
        <v>640</v>
      </c>
    </row>
    <row r="26" ht="16.5" customHeight="1">
      <c r="A26" s="39">
        <v>6.0</v>
      </c>
      <c r="B26" s="25" t="s">
        <v>97</v>
      </c>
      <c r="C26" s="25"/>
      <c r="D26" s="25"/>
      <c r="E26" s="25"/>
      <c r="F26" s="42">
        <v>4.0</v>
      </c>
      <c r="G26" s="30"/>
      <c r="H26" s="50">
        <v>45.0</v>
      </c>
      <c r="I26" s="47">
        <f t="shared" si="1"/>
        <v>180</v>
      </c>
    </row>
    <row r="27" ht="16.5" customHeight="1">
      <c r="A27" s="39">
        <v>7.0</v>
      </c>
      <c r="B27" s="25" t="s">
        <v>254</v>
      </c>
      <c r="C27" s="25"/>
      <c r="D27" s="25"/>
      <c r="E27" s="25"/>
      <c r="F27" s="42">
        <v>4.0</v>
      </c>
      <c r="G27" s="30"/>
      <c r="H27" s="50">
        <v>60.0</v>
      </c>
      <c r="I27" s="47">
        <f t="shared" si="1"/>
        <v>240</v>
      </c>
    </row>
    <row r="28" ht="16.5" customHeight="1">
      <c r="A28" s="39">
        <v>8.0</v>
      </c>
      <c r="B28" s="25" t="s">
        <v>239</v>
      </c>
      <c r="C28" s="25"/>
      <c r="D28" s="25"/>
      <c r="E28" s="25"/>
      <c r="F28" s="42">
        <v>14.0</v>
      </c>
      <c r="G28" s="30"/>
      <c r="H28" s="50">
        <v>30.0</v>
      </c>
      <c r="I28" s="47">
        <f t="shared" si="1"/>
        <v>420</v>
      </c>
    </row>
    <row r="29" ht="16.5" customHeight="1">
      <c r="A29" s="39">
        <v>9.0</v>
      </c>
      <c r="B29" s="25" t="s">
        <v>191</v>
      </c>
      <c r="C29" s="25"/>
      <c r="D29" s="25"/>
      <c r="E29" s="25"/>
      <c r="F29" s="42">
        <v>6.0</v>
      </c>
      <c r="G29" s="30"/>
      <c r="H29" s="50">
        <v>42.0</v>
      </c>
      <c r="I29" s="47">
        <f t="shared" si="1"/>
        <v>252</v>
      </c>
    </row>
    <row r="30" ht="16.5" customHeight="1">
      <c r="A30" s="39">
        <v>10.0</v>
      </c>
      <c r="B30" s="51" t="s">
        <v>90</v>
      </c>
      <c r="C30" s="29"/>
      <c r="D30" s="29"/>
      <c r="E30" s="30"/>
      <c r="F30" s="42">
        <f>SUM(F21:G29)/30</f>
        <v>3</v>
      </c>
      <c r="G30" s="30"/>
      <c r="H30" s="49">
        <v>120.0</v>
      </c>
      <c r="I30" s="47">
        <f t="shared" si="1"/>
        <v>360</v>
      </c>
    </row>
    <row r="31" ht="16.5" customHeight="1">
      <c r="A31" s="52" t="s">
        <v>93</v>
      </c>
      <c r="B31" s="53"/>
      <c r="C31" s="53"/>
      <c r="D31" s="53"/>
      <c r="E31" s="53"/>
      <c r="F31" s="53">
        <f>SUM(F21:G29)</f>
        <v>90</v>
      </c>
      <c r="G31" s="53"/>
      <c r="H31" s="54" t="s">
        <v>98</v>
      </c>
      <c r="I31" s="55">
        <f>SUM(I21:I30)</f>
        <v>3670</v>
      </c>
    </row>
    <row r="32" ht="28.5" customHeight="1">
      <c r="A32" s="56" t="s">
        <v>102</v>
      </c>
      <c r="B32" s="9"/>
      <c r="C32" s="9"/>
      <c r="D32" s="9"/>
      <c r="E32" s="9"/>
      <c r="F32" s="9"/>
      <c r="G32" s="9"/>
      <c r="H32" s="9"/>
    </row>
    <row r="33" ht="16.5" customHeight="1">
      <c r="A33" s="9"/>
      <c r="E33" s="9"/>
    </row>
    <row r="34" ht="16.5" customHeight="1">
      <c r="A34" s="58" t="s">
        <v>104</v>
      </c>
      <c r="B34" s="9"/>
      <c r="C34" s="9"/>
      <c r="E34" s="9"/>
    </row>
    <row r="35" ht="7.5" customHeight="1">
      <c r="L35" s="10"/>
      <c r="M35" s="10"/>
      <c r="N35" s="9"/>
      <c r="P35" s="9"/>
    </row>
    <row r="36" ht="16.5" customHeight="1">
      <c r="A36" s="61" t="s">
        <v>105</v>
      </c>
      <c r="B36" s="62"/>
      <c r="C36" s="5" t="s">
        <v>15</v>
      </c>
      <c r="D36" s="9" t="s">
        <v>107</v>
      </c>
      <c r="F36" s="62"/>
      <c r="K36" s="63"/>
      <c r="L36" s="10"/>
      <c r="M36" s="10"/>
      <c r="N36" s="9"/>
      <c r="P36" s="9"/>
    </row>
    <row r="37" ht="16.5" customHeight="1">
      <c r="A37" s="61" t="s">
        <v>108</v>
      </c>
      <c r="C37" s="5" t="s">
        <v>15</v>
      </c>
      <c r="D37" s="9" t="s">
        <v>107</v>
      </c>
      <c r="L37" s="10"/>
      <c r="M37" s="10"/>
      <c r="N37" s="9"/>
    </row>
    <row r="38" ht="16.5" customHeight="1">
      <c r="D38" s="9" t="s">
        <v>109</v>
      </c>
      <c r="L38" s="10"/>
      <c r="M38" s="10"/>
      <c r="N38" s="9"/>
    </row>
    <row r="39" ht="16.5" customHeight="1">
      <c r="L39" s="10"/>
      <c r="M39" s="62"/>
      <c r="Q39" s="62"/>
    </row>
    <row r="40" ht="16.5" customHeight="1">
      <c r="A40" s="62"/>
      <c r="B40" s="62"/>
    </row>
    <row r="41" ht="16.5" customHeight="1"/>
    <row r="42" ht="16.5" customHeight="1">
      <c r="A42" s="9"/>
      <c r="D42" s="9"/>
      <c r="F42" s="62"/>
    </row>
    <row r="43" ht="16.5" customHeight="1">
      <c r="A43" s="9"/>
      <c r="D43" s="9"/>
      <c r="F43" s="62"/>
    </row>
    <row r="44" ht="16.5" customHeight="1"/>
    <row r="45" ht="16.5" customHeight="1"/>
    <row r="46" ht="16.5" customHeight="1">
      <c r="H46" s="23"/>
      <c r="I46" s="66"/>
      <c r="J46" s="66"/>
    </row>
    <row r="47" ht="16.5" customHeight="1">
      <c r="E47" s="68" t="s">
        <v>117</v>
      </c>
      <c r="F47" s="69"/>
      <c r="G47" s="69"/>
      <c r="H47" s="69"/>
      <c r="I47" s="69"/>
    </row>
    <row r="48" ht="16.5" customHeight="1"/>
    <row r="49" ht="16.5" customHeight="1">
      <c r="A49" s="70"/>
    </row>
    <row r="50" ht="16.5" customHeight="1">
      <c r="A50" s="70"/>
    </row>
    <row r="51" ht="16.5" customHeight="1">
      <c r="A51" s="26"/>
    </row>
    <row r="52" ht="16.5" customHeight="1">
      <c r="A52" s="71"/>
    </row>
    <row r="53" ht="16.5" customHeight="1"/>
    <row r="54" ht="16.5" customHeight="1"/>
    <row r="55" ht="16.5" customHeight="1"/>
    <row r="56" ht="16.5" customHeight="1"/>
    <row r="57" ht="16.5" customHeight="1">
      <c r="B57" s="8"/>
      <c r="C57" s="72" t="s">
        <v>124</v>
      </c>
      <c r="D57" s="73"/>
      <c r="E57" s="73"/>
      <c r="F57" s="73"/>
      <c r="G57" s="8"/>
      <c r="H57" s="8"/>
      <c r="I57" s="8"/>
      <c r="J57" s="74"/>
    </row>
    <row r="58" ht="16.5" customHeight="1">
      <c r="B58" s="8"/>
      <c r="C58" s="8" t="s">
        <v>126</v>
      </c>
      <c r="J58" s="75">
        <v>35000.0</v>
      </c>
    </row>
    <row r="59" ht="16.5" customHeight="1">
      <c r="B59" s="8"/>
      <c r="C59" s="8" t="s">
        <v>127</v>
      </c>
      <c r="J59" s="75">
        <v>40000.0</v>
      </c>
    </row>
    <row r="60" ht="16.5" customHeight="1">
      <c r="B60" s="8"/>
      <c r="C60" s="8" t="s">
        <v>128</v>
      </c>
      <c r="D60" s="8"/>
      <c r="E60" s="8"/>
      <c r="F60" s="8"/>
      <c r="G60" s="8"/>
      <c r="H60" s="8"/>
      <c r="I60" s="8"/>
      <c r="J60" s="75">
        <v>65000.0</v>
      </c>
    </row>
    <row r="61" ht="16.5" customHeight="1">
      <c r="B61" s="8"/>
      <c r="C61" s="8" t="s">
        <v>129</v>
      </c>
      <c r="D61" s="8"/>
      <c r="E61" s="8"/>
      <c r="F61" s="8"/>
      <c r="G61" s="8"/>
      <c r="H61" s="8"/>
      <c r="I61" s="8"/>
      <c r="J61" s="75">
        <v>65000.0</v>
      </c>
    </row>
    <row r="62" ht="16.5" customHeight="1">
      <c r="B62" s="8"/>
      <c r="C62" s="8" t="s">
        <v>130</v>
      </c>
      <c r="D62" s="8"/>
      <c r="E62" s="8"/>
      <c r="F62" s="8"/>
      <c r="G62" s="8"/>
      <c r="H62" s="8"/>
      <c r="I62" s="8"/>
      <c r="J62" s="75">
        <v>35000.0</v>
      </c>
    </row>
    <row r="63" ht="16.5" customHeight="1">
      <c r="B63" s="8"/>
      <c r="C63" s="8" t="s">
        <v>131</v>
      </c>
      <c r="D63" s="8"/>
      <c r="E63" s="8"/>
      <c r="F63" s="8"/>
      <c r="G63" s="8"/>
      <c r="H63" s="8"/>
      <c r="I63" s="8"/>
      <c r="J63" s="75">
        <v>37000.0</v>
      </c>
    </row>
    <row r="64" ht="16.5" customHeight="1">
      <c r="B64" s="8"/>
      <c r="C64" s="8" t="s">
        <v>133</v>
      </c>
      <c r="D64" s="8"/>
      <c r="E64" s="8"/>
      <c r="F64" s="8"/>
      <c r="G64" s="8"/>
      <c r="H64" s="8"/>
      <c r="I64" s="8"/>
      <c r="J64" s="75">
        <v>32000.0</v>
      </c>
    </row>
    <row r="65" ht="16.5" customHeight="1">
      <c r="B65" s="8"/>
      <c r="C65" s="8" t="s">
        <v>134</v>
      </c>
      <c r="G65" s="8"/>
      <c r="H65" s="8"/>
      <c r="I65" s="8"/>
      <c r="J65" s="75">
        <v>55000.0</v>
      </c>
    </row>
    <row r="66" ht="16.5" customHeight="1">
      <c r="B66" s="8"/>
      <c r="C66" s="8" t="s">
        <v>135</v>
      </c>
      <c r="D66" s="8"/>
      <c r="E66" s="8"/>
      <c r="F66" s="8"/>
      <c r="G66" s="8"/>
      <c r="H66" s="8"/>
      <c r="I66" s="8"/>
      <c r="J66" s="75">
        <v>60000.0</v>
      </c>
    </row>
    <row r="67" ht="16.5" customHeight="1">
      <c r="B67" s="8"/>
      <c r="C67" s="8" t="s">
        <v>136</v>
      </c>
      <c r="D67" s="8"/>
      <c r="E67" s="8"/>
      <c r="F67" s="8"/>
      <c r="G67" s="8"/>
      <c r="H67" s="8"/>
      <c r="I67" s="8"/>
      <c r="J67" s="75">
        <v>40000.0</v>
      </c>
    </row>
    <row r="68" ht="16.5" customHeight="1">
      <c r="B68" s="8"/>
      <c r="C68" s="8" t="s">
        <v>137</v>
      </c>
      <c r="D68" s="8"/>
      <c r="E68" s="8"/>
      <c r="F68" s="8"/>
      <c r="G68" s="8"/>
      <c r="H68" s="8"/>
      <c r="I68" s="8"/>
      <c r="J68" s="75">
        <v>27000.0</v>
      </c>
    </row>
    <row r="69" ht="16.5" customHeight="1">
      <c r="B69" s="8"/>
      <c r="C69" s="8" t="s">
        <v>138</v>
      </c>
      <c r="D69" s="8"/>
      <c r="E69" s="8"/>
      <c r="F69" s="8"/>
      <c r="G69" s="8"/>
      <c r="H69" s="8"/>
      <c r="I69" s="8"/>
      <c r="J69" s="75">
        <v>32000.0</v>
      </c>
    </row>
    <row r="70" ht="16.5" customHeight="1">
      <c r="B70" s="8"/>
      <c r="C70" s="8" t="s">
        <v>139</v>
      </c>
      <c r="D70" s="8"/>
      <c r="E70" s="8"/>
      <c r="F70" s="8"/>
      <c r="G70" s="8"/>
      <c r="H70" s="8"/>
      <c r="I70" s="8"/>
      <c r="J70" s="75">
        <v>27000.0</v>
      </c>
    </row>
    <row r="71" ht="16.5" customHeight="1">
      <c r="B71" s="8"/>
      <c r="C71" s="8" t="s">
        <v>140</v>
      </c>
      <c r="D71" s="8"/>
      <c r="E71" s="8"/>
      <c r="F71" s="8"/>
      <c r="G71" s="8"/>
      <c r="H71" s="8"/>
      <c r="I71" s="8"/>
      <c r="J71" s="75">
        <v>110000.0</v>
      </c>
    </row>
    <row r="72" ht="16.5" customHeight="1">
      <c r="B72" s="8"/>
      <c r="C72" s="8" t="s">
        <v>142</v>
      </c>
      <c r="D72" s="8"/>
      <c r="E72" s="8"/>
      <c r="F72" s="8"/>
      <c r="G72" s="8"/>
      <c r="H72" s="8"/>
      <c r="I72" s="8"/>
      <c r="J72" s="75">
        <v>30000.0</v>
      </c>
    </row>
    <row r="73" ht="16.5" customHeight="1">
      <c r="B73" s="8"/>
      <c r="C73" s="8" t="s">
        <v>143</v>
      </c>
      <c r="D73" s="8"/>
      <c r="E73" s="8"/>
      <c r="F73" s="8"/>
      <c r="G73" s="8"/>
      <c r="H73" s="8"/>
      <c r="I73" s="8"/>
      <c r="J73" s="75">
        <v>27000.0</v>
      </c>
    </row>
    <row r="74" ht="16.5" customHeight="1">
      <c r="B74" s="8"/>
      <c r="C74" s="8" t="s">
        <v>144</v>
      </c>
      <c r="D74" s="8"/>
      <c r="E74" s="8"/>
      <c r="F74" s="8"/>
      <c r="G74" s="8"/>
      <c r="H74" s="8"/>
      <c r="I74" s="8"/>
      <c r="J74" s="75">
        <v>33000.0</v>
      </c>
    </row>
    <row r="75" ht="16.5" customHeight="1">
      <c r="B75" s="8"/>
      <c r="C75" s="8" t="s">
        <v>145</v>
      </c>
      <c r="D75" s="8"/>
      <c r="E75" s="8"/>
      <c r="F75" s="8"/>
      <c r="G75" s="8"/>
      <c r="H75" s="8"/>
      <c r="I75" s="8"/>
      <c r="J75" s="75">
        <v>35000.0</v>
      </c>
    </row>
    <row r="76" ht="16.5" customHeight="1">
      <c r="B76" s="8"/>
      <c r="C76" s="8" t="s">
        <v>146</v>
      </c>
      <c r="D76" s="8"/>
      <c r="E76" s="8"/>
      <c r="F76" s="8"/>
      <c r="G76" s="8"/>
      <c r="H76" s="8"/>
      <c r="I76" s="8"/>
      <c r="J76" s="75">
        <v>33000.0</v>
      </c>
    </row>
    <row r="77" ht="16.5" customHeight="1">
      <c r="B77" s="8"/>
      <c r="C77" s="8" t="s">
        <v>147</v>
      </c>
      <c r="D77" s="8"/>
      <c r="E77" s="8"/>
      <c r="F77" s="8"/>
      <c r="G77" s="8"/>
      <c r="H77" s="8"/>
      <c r="I77" s="8"/>
      <c r="J77" s="75">
        <v>33000.0</v>
      </c>
    </row>
    <row r="78" ht="16.5" customHeight="1">
      <c r="B78" s="8"/>
      <c r="C78" s="8" t="s">
        <v>148</v>
      </c>
      <c r="D78" s="8"/>
      <c r="E78" s="8"/>
      <c r="F78" s="8"/>
      <c r="G78" s="8"/>
      <c r="H78" s="8"/>
      <c r="I78" s="8"/>
      <c r="J78" s="75">
        <v>35000.0</v>
      </c>
    </row>
    <row r="79" ht="16.5" customHeight="1">
      <c r="B79" s="8"/>
      <c r="C79" s="8" t="s">
        <v>149</v>
      </c>
      <c r="D79" s="8"/>
      <c r="E79" s="8"/>
      <c r="F79" s="8"/>
      <c r="G79" s="8"/>
      <c r="H79" s="8"/>
      <c r="I79" s="8"/>
      <c r="J79" s="75">
        <v>33000.0</v>
      </c>
    </row>
    <row r="80" ht="16.5" customHeight="1">
      <c r="B80" s="8"/>
      <c r="C80" s="8" t="s">
        <v>150</v>
      </c>
      <c r="D80" s="8"/>
      <c r="E80" s="8"/>
      <c r="F80" s="8"/>
      <c r="G80" s="8"/>
      <c r="H80" s="8"/>
      <c r="I80" s="8"/>
      <c r="J80" s="75">
        <v>33000.0</v>
      </c>
    </row>
    <row r="81" ht="16.5" customHeight="1">
      <c r="B81" s="8"/>
      <c r="C81" s="8" t="s">
        <v>151</v>
      </c>
      <c r="D81" s="8"/>
      <c r="E81" s="8"/>
      <c r="F81" s="8"/>
      <c r="G81" s="8"/>
      <c r="H81" s="8"/>
      <c r="I81" s="8"/>
      <c r="J81" s="75">
        <v>32000.0</v>
      </c>
    </row>
    <row r="82" ht="16.5" customHeight="1">
      <c r="B82" s="8"/>
      <c r="C82" s="8" t="s">
        <v>153</v>
      </c>
      <c r="D82" s="8"/>
      <c r="E82" s="8"/>
      <c r="F82" s="8"/>
      <c r="G82" s="8"/>
      <c r="H82" s="8"/>
      <c r="I82" s="8"/>
      <c r="J82" s="75">
        <v>33000.0</v>
      </c>
    </row>
    <row r="83" ht="16.5" customHeight="1">
      <c r="B83" s="8"/>
      <c r="C83" s="8" t="s">
        <v>154</v>
      </c>
      <c r="D83" s="8"/>
      <c r="E83" s="8"/>
      <c r="F83" s="8"/>
      <c r="G83" s="8"/>
      <c r="H83" s="8"/>
      <c r="I83" s="8"/>
      <c r="J83" s="75">
        <v>40000.0</v>
      </c>
    </row>
    <row r="84" ht="16.5" customHeight="1">
      <c r="B84" s="8"/>
      <c r="C84" s="8" t="s">
        <v>155</v>
      </c>
      <c r="D84" s="8"/>
      <c r="E84" s="8"/>
      <c r="F84" s="8"/>
      <c r="G84" s="8"/>
      <c r="H84" s="8"/>
      <c r="I84" s="8"/>
      <c r="J84" s="75">
        <v>35000.0</v>
      </c>
    </row>
    <row r="85" ht="16.5" customHeight="1">
      <c r="B85" s="8"/>
      <c r="C85" s="8" t="s">
        <v>156</v>
      </c>
      <c r="D85" s="8"/>
      <c r="E85" s="8"/>
      <c r="F85" s="8"/>
      <c r="G85" s="8"/>
      <c r="H85" s="8"/>
      <c r="I85" s="8"/>
      <c r="J85" s="74"/>
    </row>
    <row r="86" ht="16.5" customHeight="1">
      <c r="B86" s="8"/>
      <c r="C86" s="8" t="s">
        <v>157</v>
      </c>
      <c r="D86" s="8"/>
      <c r="E86" s="8"/>
      <c r="F86" s="8"/>
      <c r="G86" s="8"/>
      <c r="H86" s="8"/>
      <c r="I86" s="8"/>
      <c r="J86" s="74"/>
    </row>
    <row r="87" ht="16.5" customHeight="1">
      <c r="B87" s="8"/>
      <c r="C87" s="8" t="s">
        <v>158</v>
      </c>
      <c r="D87" s="8"/>
      <c r="E87" s="8"/>
      <c r="F87" s="8"/>
      <c r="G87" s="8"/>
      <c r="H87" s="8"/>
      <c r="I87" s="8"/>
      <c r="J87" s="74"/>
    </row>
    <row r="88" ht="16.5" customHeight="1">
      <c r="B88" s="8"/>
      <c r="C88" s="8" t="s">
        <v>159</v>
      </c>
      <c r="D88" s="8"/>
      <c r="E88" s="8"/>
      <c r="F88" s="8"/>
      <c r="G88" s="8"/>
      <c r="H88" s="8"/>
      <c r="I88" s="8"/>
      <c r="J88" s="75">
        <v>35000.0</v>
      </c>
    </row>
    <row r="89" ht="16.5" customHeight="1">
      <c r="B89" s="8"/>
      <c r="C89" s="8" t="s">
        <v>160</v>
      </c>
      <c r="D89" s="8"/>
      <c r="E89" s="8"/>
      <c r="F89" s="8"/>
      <c r="G89" s="8"/>
      <c r="H89" s="8"/>
      <c r="I89" s="8"/>
      <c r="J89" s="75">
        <v>30000.0</v>
      </c>
    </row>
    <row r="90" ht="16.5" customHeight="1">
      <c r="B90" s="8"/>
      <c r="C90" s="8" t="s">
        <v>161</v>
      </c>
      <c r="D90" s="8"/>
      <c r="E90" s="8"/>
      <c r="F90" s="8"/>
      <c r="G90" s="8"/>
      <c r="H90" s="8"/>
      <c r="I90" s="8"/>
      <c r="J90" s="75">
        <v>65000.0</v>
      </c>
    </row>
    <row r="91" ht="16.5" customHeight="1">
      <c r="B91" s="8"/>
      <c r="C91" s="8" t="s">
        <v>163</v>
      </c>
      <c r="D91" s="8"/>
      <c r="E91" s="8"/>
      <c r="F91" s="8"/>
      <c r="G91" s="8"/>
      <c r="H91" s="8"/>
      <c r="I91" s="8"/>
      <c r="J91" s="75">
        <v>33000.0</v>
      </c>
    </row>
    <row r="92" ht="16.5" customHeight="1">
      <c r="B92" s="8"/>
      <c r="C92" s="8" t="s">
        <v>164</v>
      </c>
      <c r="D92" s="8"/>
      <c r="E92" s="8"/>
      <c r="F92" s="8"/>
      <c r="G92" s="8"/>
      <c r="H92" s="8"/>
      <c r="I92" s="8"/>
      <c r="J92" s="75">
        <v>40000.0</v>
      </c>
    </row>
    <row r="93" ht="16.5" customHeight="1">
      <c r="B93" s="8"/>
      <c r="C93" s="8" t="s">
        <v>165</v>
      </c>
      <c r="D93" s="8"/>
      <c r="E93" s="8"/>
      <c r="F93" s="8"/>
      <c r="G93" s="8"/>
      <c r="H93" s="8"/>
      <c r="I93" s="8"/>
      <c r="J93" s="74"/>
    </row>
    <row r="94" ht="16.5" customHeight="1">
      <c r="B94" s="8"/>
      <c r="C94" s="8" t="s">
        <v>166</v>
      </c>
      <c r="D94" s="8"/>
      <c r="E94" s="8"/>
      <c r="F94" s="8"/>
      <c r="G94" s="8"/>
      <c r="H94" s="8"/>
      <c r="I94" s="8"/>
      <c r="J94" s="74"/>
    </row>
    <row r="95" ht="16.5" customHeight="1">
      <c r="B95" s="8"/>
      <c r="C95" s="8" t="s">
        <v>167</v>
      </c>
      <c r="D95" s="8"/>
      <c r="E95" s="8"/>
      <c r="F95" s="8"/>
      <c r="G95" s="8"/>
      <c r="H95" s="8"/>
      <c r="I95" s="8"/>
      <c r="J95" s="74"/>
    </row>
    <row r="96" ht="16.5" customHeight="1">
      <c r="B96" s="8"/>
      <c r="C96" s="8" t="s">
        <v>168</v>
      </c>
      <c r="D96" s="8"/>
      <c r="E96" s="8"/>
      <c r="F96" s="8"/>
      <c r="G96" s="8"/>
      <c r="H96" s="8"/>
      <c r="I96" s="8"/>
      <c r="J96" s="74"/>
    </row>
    <row r="97" ht="16.5" customHeight="1">
      <c r="B97" s="8"/>
      <c r="C97" s="8" t="s">
        <v>169</v>
      </c>
      <c r="D97" s="8"/>
      <c r="E97" s="8"/>
      <c r="F97" s="8"/>
      <c r="G97" s="8"/>
      <c r="H97" s="8"/>
      <c r="I97" s="8"/>
      <c r="J97" s="74"/>
    </row>
    <row r="98" ht="16.5" customHeight="1">
      <c r="B98" s="8"/>
      <c r="C98" s="8" t="s">
        <v>170</v>
      </c>
      <c r="D98" s="8"/>
      <c r="E98" s="8"/>
      <c r="F98" s="8"/>
      <c r="G98" s="8"/>
      <c r="H98" s="8"/>
      <c r="I98" s="8"/>
      <c r="J98" s="74"/>
    </row>
    <row r="99" ht="16.5" customHeight="1">
      <c r="B99" s="8"/>
      <c r="C99" s="8" t="s">
        <v>171</v>
      </c>
      <c r="D99" s="8"/>
      <c r="E99" s="8"/>
      <c r="F99" s="8"/>
      <c r="G99" s="8"/>
      <c r="H99" s="8"/>
      <c r="I99" s="8"/>
      <c r="J99" s="74"/>
    </row>
    <row r="100" ht="16.5" customHeight="1">
      <c r="B100" s="8"/>
      <c r="C100" s="8" t="s">
        <v>173</v>
      </c>
      <c r="D100" s="8"/>
      <c r="E100" s="8"/>
      <c r="F100" s="8"/>
      <c r="G100" s="8"/>
      <c r="H100" s="8"/>
      <c r="I100" s="8"/>
      <c r="J100" s="74"/>
    </row>
    <row r="101" ht="16.5" customHeight="1">
      <c r="B101" s="8"/>
      <c r="C101" s="8" t="s">
        <v>174</v>
      </c>
      <c r="D101" s="8"/>
      <c r="E101" s="8"/>
      <c r="F101" s="8"/>
      <c r="G101" s="8"/>
      <c r="H101" s="8"/>
      <c r="I101" s="8"/>
      <c r="J101" s="74"/>
    </row>
    <row r="102" ht="16.5" customHeight="1">
      <c r="B102" s="8"/>
      <c r="C102" s="8" t="s">
        <v>175</v>
      </c>
      <c r="D102" s="8"/>
      <c r="E102" s="8"/>
      <c r="F102" s="8"/>
      <c r="G102" s="8"/>
      <c r="H102" s="8"/>
      <c r="I102" s="8"/>
      <c r="J102" s="74"/>
    </row>
    <row r="103" ht="16.5" customHeight="1">
      <c r="B103" s="8"/>
      <c r="C103" s="8" t="s">
        <v>176</v>
      </c>
      <c r="D103" s="8"/>
      <c r="E103" s="8"/>
      <c r="F103" s="8"/>
      <c r="G103" s="8"/>
      <c r="H103" s="8"/>
      <c r="I103" s="8"/>
      <c r="J103" s="74"/>
    </row>
    <row r="104" ht="16.5" customHeight="1">
      <c r="B104" s="8"/>
      <c r="C104" s="8" t="s">
        <v>177</v>
      </c>
      <c r="D104" s="8"/>
      <c r="E104" s="8"/>
      <c r="F104" s="8"/>
      <c r="G104" s="8"/>
      <c r="H104" s="8"/>
      <c r="I104" s="8"/>
      <c r="J104" s="74"/>
    </row>
    <row r="105" ht="16.5" customHeight="1">
      <c r="B105" s="8"/>
      <c r="C105" s="8" t="s">
        <v>178</v>
      </c>
      <c r="D105" s="8"/>
      <c r="E105" s="8"/>
      <c r="F105" s="8"/>
      <c r="G105" s="8"/>
      <c r="H105" s="8"/>
      <c r="I105" s="8"/>
      <c r="J105" s="74"/>
    </row>
    <row r="106" ht="16.5" customHeight="1">
      <c r="B106" s="8"/>
      <c r="C106" s="8" t="s">
        <v>179</v>
      </c>
      <c r="D106" s="8"/>
      <c r="E106" s="8"/>
      <c r="F106" s="8"/>
      <c r="G106" s="8"/>
      <c r="H106" s="8"/>
      <c r="I106" s="8"/>
      <c r="J106" s="74"/>
    </row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4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F22:G22"/>
    <mergeCell ref="F23:G23"/>
    <mergeCell ref="F24:G24"/>
    <mergeCell ref="B25:E25"/>
    <mergeCell ref="C58:I58"/>
    <mergeCell ref="C59:I59"/>
    <mergeCell ref="C65:F65"/>
    <mergeCell ref="F25:G25"/>
    <mergeCell ref="F26:G26"/>
    <mergeCell ref="F27:G27"/>
    <mergeCell ref="F28:G28"/>
    <mergeCell ref="F29:G29"/>
    <mergeCell ref="B30:E30"/>
    <mergeCell ref="F30:G30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9" t="s">
        <v>6</v>
      </c>
      <c r="B7" s="9"/>
      <c r="C7" s="9"/>
      <c r="D7" s="10"/>
      <c r="E7" s="9"/>
      <c r="F7" s="9"/>
      <c r="G7" s="9"/>
      <c r="H7" s="78" t="s">
        <v>257</v>
      </c>
      <c r="I7" s="9"/>
      <c r="J7" s="9"/>
      <c r="L7" s="5"/>
    </row>
    <row r="8" ht="16.5" customHeight="1">
      <c r="A8" s="12" t="s">
        <v>10</v>
      </c>
      <c r="E8" s="9"/>
      <c r="F8" s="9"/>
      <c r="G8" s="9"/>
      <c r="H8" s="9"/>
      <c r="I8" s="9"/>
      <c r="J8" s="9"/>
      <c r="L8" s="5"/>
    </row>
    <row r="9" ht="16.5" customHeight="1">
      <c r="A9" s="14" t="s">
        <v>12</v>
      </c>
      <c r="C9" s="9"/>
      <c r="D9" s="9"/>
      <c r="E9" s="9"/>
      <c r="F9" s="9"/>
      <c r="G9" s="9"/>
      <c r="H9" s="15"/>
      <c r="I9" s="9"/>
      <c r="J9" s="9"/>
      <c r="N9" s="16"/>
    </row>
    <row r="10" ht="34.5" customHeight="1">
      <c r="A10" s="17" t="s">
        <v>13</v>
      </c>
      <c r="K10" s="18"/>
      <c r="L10" s="19"/>
      <c r="M10" s="18"/>
      <c r="N10" s="16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16.5" customHeight="1">
      <c r="A11" s="20"/>
      <c r="N11" s="21"/>
      <c r="O11" s="5" t="s">
        <v>242</v>
      </c>
    </row>
    <row r="12" ht="16.5" customHeight="1">
      <c r="A12" s="22"/>
      <c r="B12" s="12" t="s">
        <v>14</v>
      </c>
      <c r="C12" s="5" t="s">
        <v>15</v>
      </c>
      <c r="D12" s="12" t="s">
        <v>258</v>
      </c>
      <c r="K12" s="23"/>
      <c r="L12" s="24"/>
      <c r="N12" s="21"/>
      <c r="O12" s="5" t="s">
        <v>244</v>
      </c>
    </row>
    <row r="13" ht="16.5" customHeight="1">
      <c r="A13" s="22"/>
      <c r="B13" s="12" t="s">
        <v>23</v>
      </c>
      <c r="C13" s="5" t="s">
        <v>15</v>
      </c>
      <c r="D13" s="9" t="s">
        <v>24</v>
      </c>
      <c r="N13" s="21"/>
      <c r="O13" s="9" t="s">
        <v>245</v>
      </c>
    </row>
    <row r="14" ht="16.5" customHeight="1">
      <c r="A14" s="22"/>
      <c r="B14" s="12" t="s">
        <v>28</v>
      </c>
      <c r="C14" s="5" t="s">
        <v>15</v>
      </c>
      <c r="D14" s="9" t="s">
        <v>29</v>
      </c>
      <c r="N14" s="21"/>
      <c r="O14" s="9" t="s">
        <v>246</v>
      </c>
    </row>
    <row r="15" ht="16.5" customHeight="1">
      <c r="A15" s="22"/>
      <c r="B15" s="12" t="s">
        <v>33</v>
      </c>
      <c r="C15" s="5" t="s">
        <v>15</v>
      </c>
      <c r="D15" s="9" t="s">
        <v>34</v>
      </c>
      <c r="H15" s="5" t="s">
        <v>35</v>
      </c>
      <c r="N15" s="21"/>
      <c r="O15" s="9" t="s">
        <v>247</v>
      </c>
    </row>
    <row r="16" ht="16.5" customHeight="1">
      <c r="A16" s="22"/>
      <c r="B16" s="12" t="s">
        <v>38</v>
      </c>
      <c r="C16" s="5" t="s">
        <v>15</v>
      </c>
      <c r="D16" s="9" t="s">
        <v>39</v>
      </c>
      <c r="E16" s="5" t="s">
        <v>40</v>
      </c>
      <c r="N16" s="21"/>
      <c r="O16" s="9" t="s">
        <v>248</v>
      </c>
    </row>
    <row r="17" ht="16.5" customHeight="1">
      <c r="A17" s="22"/>
      <c r="B17" s="12" t="s">
        <v>44</v>
      </c>
      <c r="C17" s="5" t="s">
        <v>15</v>
      </c>
      <c r="D17" s="9" t="s">
        <v>45</v>
      </c>
      <c r="N17" s="21"/>
      <c r="O17" s="9" t="s">
        <v>249</v>
      </c>
    </row>
    <row r="18" ht="16.5" customHeight="1">
      <c r="A18" s="22"/>
      <c r="B18" s="12"/>
      <c r="C18" s="5"/>
      <c r="D18" s="9"/>
      <c r="N18" s="21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1"/>
      <c r="O19" s="5" t="s">
        <v>251</v>
      </c>
    </row>
    <row r="20" ht="16.5" customHeight="1">
      <c r="A20" s="32" t="s">
        <v>55</v>
      </c>
      <c r="B20" s="33" t="s">
        <v>56</v>
      </c>
      <c r="C20" s="34"/>
      <c r="D20" s="34"/>
      <c r="E20" s="35"/>
      <c r="F20" s="33" t="s">
        <v>57</v>
      </c>
      <c r="G20" s="35"/>
      <c r="H20" s="36" t="s">
        <v>58</v>
      </c>
      <c r="I20" s="37" t="s">
        <v>60</v>
      </c>
      <c r="N20" s="21"/>
      <c r="O20" s="5" t="s">
        <v>252</v>
      </c>
    </row>
    <row r="21" ht="16.5" customHeight="1">
      <c r="A21" s="39">
        <v>1.0</v>
      </c>
      <c r="B21" s="25" t="s">
        <v>193</v>
      </c>
      <c r="C21" s="25"/>
      <c r="D21" s="25"/>
      <c r="E21" s="25"/>
      <c r="F21" s="42">
        <v>20.0</v>
      </c>
      <c r="G21" s="30"/>
      <c r="H21" s="43">
        <v>50.0</v>
      </c>
      <c r="I21" s="47">
        <f t="shared" ref="I21:I35" si="1">F21*H21</f>
        <v>1000</v>
      </c>
      <c r="O21" s="5" t="s">
        <v>253</v>
      </c>
    </row>
    <row r="22" ht="16.5" customHeight="1">
      <c r="A22" s="39">
        <v>2.0</v>
      </c>
      <c r="B22" s="25" t="s">
        <v>198</v>
      </c>
      <c r="C22" s="25"/>
      <c r="D22" s="25"/>
      <c r="E22" s="25"/>
      <c r="F22" s="42">
        <v>3.0</v>
      </c>
      <c r="G22" s="30"/>
      <c r="H22" s="49">
        <v>39.0</v>
      </c>
      <c r="I22" s="47">
        <f t="shared" si="1"/>
        <v>117</v>
      </c>
    </row>
    <row r="23" ht="16.5" customHeight="1">
      <c r="A23" s="39">
        <v>3.0</v>
      </c>
      <c r="B23" s="25" t="s">
        <v>71</v>
      </c>
      <c r="C23" s="25"/>
      <c r="D23" s="25"/>
      <c r="E23" s="25"/>
      <c r="F23" s="42">
        <v>1.0</v>
      </c>
      <c r="G23" s="30"/>
      <c r="H23" s="49">
        <v>30.0</v>
      </c>
      <c r="I23" s="47">
        <f t="shared" si="1"/>
        <v>30</v>
      </c>
    </row>
    <row r="24" ht="16.5" customHeight="1">
      <c r="A24" s="39">
        <v>4.0</v>
      </c>
      <c r="B24" s="25" t="s">
        <v>227</v>
      </c>
      <c r="C24" s="25"/>
      <c r="D24" s="25"/>
      <c r="E24" s="25"/>
      <c r="F24" s="42">
        <v>2.0</v>
      </c>
      <c r="G24" s="30"/>
      <c r="H24" s="50">
        <v>43.0</v>
      </c>
      <c r="I24" s="47">
        <f t="shared" si="1"/>
        <v>86</v>
      </c>
    </row>
    <row r="25" ht="16.5" customHeight="1">
      <c r="A25" s="39">
        <v>5.0</v>
      </c>
      <c r="B25" s="25" t="s">
        <v>194</v>
      </c>
      <c r="C25" s="25"/>
      <c r="D25" s="25"/>
      <c r="E25" s="25"/>
      <c r="F25" s="42">
        <v>2.0</v>
      </c>
      <c r="G25" s="30"/>
      <c r="H25" s="50">
        <v>22.0</v>
      </c>
      <c r="I25" s="47">
        <f t="shared" si="1"/>
        <v>44</v>
      </c>
    </row>
    <row r="26" ht="16.5" customHeight="1">
      <c r="A26" s="39">
        <v>6.0</v>
      </c>
      <c r="B26" s="25" t="s">
        <v>84</v>
      </c>
      <c r="C26" s="25"/>
      <c r="D26" s="25"/>
      <c r="E26" s="25"/>
      <c r="F26" s="42">
        <v>15.0</v>
      </c>
      <c r="G26" s="30"/>
      <c r="H26" s="50">
        <v>26.0</v>
      </c>
      <c r="I26" s="47">
        <f t="shared" si="1"/>
        <v>390</v>
      </c>
    </row>
    <row r="27" ht="16.5" customHeight="1">
      <c r="A27" s="39">
        <v>7.0</v>
      </c>
      <c r="B27" s="28" t="s">
        <v>259</v>
      </c>
      <c r="C27" s="29"/>
      <c r="D27" s="29"/>
      <c r="E27" s="30"/>
      <c r="F27" s="42">
        <v>15.0</v>
      </c>
      <c r="G27" s="30"/>
      <c r="H27" s="50">
        <v>28.0</v>
      </c>
      <c r="I27" s="47">
        <f t="shared" si="1"/>
        <v>420</v>
      </c>
    </row>
    <row r="28" ht="16.5" customHeight="1">
      <c r="A28" s="39">
        <v>8.0</v>
      </c>
      <c r="B28" s="28" t="s">
        <v>97</v>
      </c>
      <c r="C28" s="29"/>
      <c r="D28" s="29"/>
      <c r="E28" s="30"/>
      <c r="F28" s="42">
        <v>6.0</v>
      </c>
      <c r="G28" s="30"/>
      <c r="H28" s="50">
        <v>45.0</v>
      </c>
      <c r="I28" s="47">
        <f t="shared" si="1"/>
        <v>270</v>
      </c>
    </row>
    <row r="29" ht="16.5" customHeight="1">
      <c r="A29" s="39">
        <v>9.0</v>
      </c>
      <c r="B29" s="28" t="s">
        <v>78</v>
      </c>
      <c r="C29" s="29"/>
      <c r="D29" s="29"/>
      <c r="E29" s="30"/>
      <c r="F29" s="42">
        <v>15.0</v>
      </c>
      <c r="G29" s="30"/>
      <c r="H29" s="50">
        <v>29.0</v>
      </c>
      <c r="I29" s="47">
        <f t="shared" si="1"/>
        <v>435</v>
      </c>
    </row>
    <row r="30" ht="16.5" customHeight="1">
      <c r="A30" s="39">
        <v>10.0</v>
      </c>
      <c r="B30" s="28" t="s">
        <v>234</v>
      </c>
      <c r="C30" s="29"/>
      <c r="D30" s="29"/>
      <c r="E30" s="30"/>
      <c r="F30" s="42">
        <v>15.0</v>
      </c>
      <c r="G30" s="30"/>
      <c r="H30" s="50">
        <v>28.0</v>
      </c>
      <c r="I30" s="47">
        <f t="shared" si="1"/>
        <v>420</v>
      </c>
    </row>
    <row r="31" ht="16.5" customHeight="1">
      <c r="A31" s="39">
        <v>11.0</v>
      </c>
      <c r="B31" s="28" t="s">
        <v>236</v>
      </c>
      <c r="C31" s="29"/>
      <c r="D31" s="29"/>
      <c r="E31" s="30"/>
      <c r="F31" s="42">
        <v>2.0</v>
      </c>
      <c r="G31" s="30"/>
      <c r="H31" s="50">
        <v>45.0</v>
      </c>
      <c r="I31" s="47">
        <f t="shared" si="1"/>
        <v>90</v>
      </c>
    </row>
    <row r="32" ht="16.5" customHeight="1">
      <c r="A32" s="39">
        <v>12.0</v>
      </c>
      <c r="B32" s="28" t="s">
        <v>254</v>
      </c>
      <c r="C32" s="29"/>
      <c r="D32" s="29"/>
      <c r="E32" s="30"/>
      <c r="F32" s="42">
        <v>2.0</v>
      </c>
      <c r="G32" s="30"/>
      <c r="H32" s="50">
        <v>60.0</v>
      </c>
      <c r="I32" s="47">
        <f t="shared" si="1"/>
        <v>120</v>
      </c>
    </row>
    <row r="33" ht="16.5" customHeight="1">
      <c r="A33" s="39">
        <v>13.0</v>
      </c>
      <c r="B33" s="28" t="s">
        <v>213</v>
      </c>
      <c r="C33" s="29"/>
      <c r="D33" s="29"/>
      <c r="E33" s="30"/>
      <c r="F33" s="42">
        <v>2.0</v>
      </c>
      <c r="G33" s="30"/>
      <c r="H33" s="50">
        <v>78.0</v>
      </c>
      <c r="I33" s="47">
        <f t="shared" si="1"/>
        <v>156</v>
      </c>
    </row>
    <row r="34" ht="16.5" customHeight="1">
      <c r="A34" s="39">
        <v>14.0</v>
      </c>
      <c r="B34" s="28" t="s">
        <v>239</v>
      </c>
      <c r="C34" s="29"/>
      <c r="D34" s="29"/>
      <c r="E34" s="30"/>
      <c r="F34" s="42">
        <v>20.0</v>
      </c>
      <c r="G34" s="30"/>
      <c r="H34" s="50">
        <v>29.0</v>
      </c>
      <c r="I34" s="47">
        <f t="shared" si="1"/>
        <v>580</v>
      </c>
    </row>
    <row r="35" ht="16.5" customHeight="1">
      <c r="A35" s="39">
        <v>15.0</v>
      </c>
      <c r="B35" s="51" t="s">
        <v>90</v>
      </c>
      <c r="C35" s="29"/>
      <c r="D35" s="29"/>
      <c r="E35" s="30"/>
      <c r="F35" s="42">
        <f>SUM(F21:G34)/30</f>
        <v>4</v>
      </c>
      <c r="G35" s="30"/>
      <c r="H35" s="49">
        <v>120.0</v>
      </c>
      <c r="I35" s="47">
        <f t="shared" si="1"/>
        <v>480</v>
      </c>
    </row>
    <row r="36" ht="16.5" customHeight="1">
      <c r="A36" s="52" t="s">
        <v>93</v>
      </c>
      <c r="B36" s="53"/>
      <c r="C36" s="53"/>
      <c r="D36" s="53"/>
      <c r="E36" s="53"/>
      <c r="F36" s="53">
        <f>SUM(F21:G34)</f>
        <v>120</v>
      </c>
      <c r="G36" s="53"/>
      <c r="H36" s="54" t="s">
        <v>98</v>
      </c>
      <c r="I36" s="55">
        <f>SUM(I21:I35)</f>
        <v>4638</v>
      </c>
    </row>
    <row r="37" ht="28.5" customHeight="1">
      <c r="A37" s="56" t="s">
        <v>102</v>
      </c>
      <c r="B37" s="9"/>
      <c r="C37" s="9"/>
      <c r="D37" s="9"/>
      <c r="E37" s="9"/>
      <c r="F37" s="9"/>
      <c r="G37" s="9"/>
      <c r="H37" s="9"/>
    </row>
    <row r="38" ht="16.5" customHeight="1">
      <c r="A38" s="9"/>
      <c r="E38" s="9"/>
    </row>
    <row r="39" ht="16.5" customHeight="1">
      <c r="A39" s="58" t="s">
        <v>104</v>
      </c>
      <c r="B39" s="9"/>
      <c r="C39" s="9"/>
      <c r="E39" s="9"/>
    </row>
    <row r="40" ht="7.5" customHeight="1">
      <c r="L40" s="10"/>
      <c r="M40" s="10"/>
      <c r="N40" s="9"/>
      <c r="P40" s="9"/>
    </row>
    <row r="41" ht="16.5" customHeight="1">
      <c r="A41" s="61" t="s">
        <v>105</v>
      </c>
      <c r="B41" s="62"/>
      <c r="C41" s="5" t="s">
        <v>15</v>
      </c>
      <c r="D41" s="9" t="s">
        <v>107</v>
      </c>
      <c r="F41" s="62"/>
      <c r="K41" s="63"/>
      <c r="L41" s="10"/>
      <c r="M41" s="10"/>
      <c r="N41" s="9"/>
      <c r="P41" s="9"/>
    </row>
    <row r="42" ht="16.5" customHeight="1">
      <c r="A42" s="61" t="s">
        <v>108</v>
      </c>
      <c r="C42" s="5" t="s">
        <v>15</v>
      </c>
      <c r="D42" s="9" t="s">
        <v>107</v>
      </c>
      <c r="L42" s="10"/>
      <c r="M42" s="10"/>
      <c r="N42" s="9"/>
    </row>
    <row r="43" ht="16.5" customHeight="1">
      <c r="D43" s="9" t="s">
        <v>109</v>
      </c>
      <c r="L43" s="10"/>
      <c r="M43" s="10"/>
      <c r="N43" s="9"/>
    </row>
    <row r="44" ht="16.5" customHeight="1">
      <c r="L44" s="10"/>
      <c r="M44" s="62"/>
      <c r="Q44" s="62"/>
    </row>
    <row r="45" ht="16.5" customHeight="1">
      <c r="A45" s="62"/>
      <c r="B45" s="62"/>
    </row>
    <row r="46" ht="16.5" customHeight="1"/>
    <row r="47" ht="16.5" customHeight="1">
      <c r="A47" s="9"/>
      <c r="D47" s="9"/>
      <c r="F47" s="62"/>
    </row>
    <row r="48" ht="16.5" customHeight="1">
      <c r="A48" s="9"/>
      <c r="D48" s="9"/>
      <c r="F48" s="62"/>
    </row>
    <row r="49" ht="16.5" customHeight="1"/>
    <row r="50" ht="16.5" customHeight="1"/>
    <row r="51" ht="16.5" customHeight="1">
      <c r="H51" s="23"/>
      <c r="I51" s="66"/>
      <c r="J51" s="66"/>
    </row>
    <row r="52" ht="16.5" customHeight="1">
      <c r="E52" s="68" t="s">
        <v>117</v>
      </c>
      <c r="F52" s="69"/>
      <c r="G52" s="69"/>
      <c r="H52" s="69"/>
      <c r="I52" s="69"/>
    </row>
    <row r="53" ht="16.5" customHeight="1"/>
    <row r="54" ht="16.5" customHeight="1">
      <c r="A54" s="70"/>
    </row>
    <row r="55" ht="16.5" customHeight="1">
      <c r="A55" s="70"/>
    </row>
    <row r="56" ht="16.5" customHeight="1">
      <c r="A56" s="26"/>
    </row>
    <row r="57" ht="16.5" customHeight="1">
      <c r="A57" s="71"/>
    </row>
    <row r="58" ht="16.5" customHeight="1"/>
    <row r="59" ht="16.5" customHeight="1"/>
    <row r="60" ht="16.5" customHeight="1"/>
    <row r="61" ht="16.5" customHeight="1"/>
    <row r="62" ht="16.5" customHeight="1">
      <c r="B62" s="8"/>
      <c r="C62" s="72" t="s">
        <v>124</v>
      </c>
      <c r="D62" s="73"/>
      <c r="E62" s="73"/>
      <c r="F62" s="73"/>
      <c r="G62" s="8"/>
      <c r="H62" s="8"/>
      <c r="I62" s="8"/>
      <c r="J62" s="74"/>
    </row>
    <row r="63" ht="16.5" customHeight="1">
      <c r="B63" s="8"/>
      <c r="C63" s="8" t="s">
        <v>126</v>
      </c>
      <c r="J63" s="75">
        <v>35000.0</v>
      </c>
    </row>
    <row r="64" ht="16.5" customHeight="1">
      <c r="B64" s="8"/>
      <c r="C64" s="8" t="s">
        <v>127</v>
      </c>
      <c r="J64" s="75">
        <v>40000.0</v>
      </c>
    </row>
    <row r="65" ht="16.5" customHeight="1">
      <c r="B65" s="8"/>
      <c r="C65" s="8" t="s">
        <v>128</v>
      </c>
      <c r="D65" s="8"/>
      <c r="E65" s="8"/>
      <c r="F65" s="8"/>
      <c r="G65" s="8"/>
      <c r="H65" s="8"/>
      <c r="I65" s="8"/>
      <c r="J65" s="75">
        <v>65000.0</v>
      </c>
    </row>
    <row r="66" ht="16.5" customHeight="1">
      <c r="B66" s="8"/>
      <c r="C66" s="8" t="s">
        <v>129</v>
      </c>
      <c r="D66" s="8"/>
      <c r="E66" s="8"/>
      <c r="F66" s="8"/>
      <c r="G66" s="8"/>
      <c r="H66" s="8"/>
      <c r="I66" s="8"/>
      <c r="J66" s="75">
        <v>65000.0</v>
      </c>
    </row>
    <row r="67" ht="16.5" customHeight="1">
      <c r="B67" s="8"/>
      <c r="C67" s="8" t="s">
        <v>130</v>
      </c>
      <c r="D67" s="8"/>
      <c r="E67" s="8"/>
      <c r="F67" s="8"/>
      <c r="G67" s="8"/>
      <c r="H67" s="8"/>
      <c r="I67" s="8"/>
      <c r="J67" s="75">
        <v>35000.0</v>
      </c>
    </row>
    <row r="68" ht="16.5" customHeight="1">
      <c r="B68" s="8"/>
      <c r="C68" s="8" t="s">
        <v>131</v>
      </c>
      <c r="D68" s="8"/>
      <c r="E68" s="8"/>
      <c r="F68" s="8"/>
      <c r="G68" s="8"/>
      <c r="H68" s="8"/>
      <c r="I68" s="8"/>
      <c r="J68" s="75">
        <v>37000.0</v>
      </c>
    </row>
    <row r="69" ht="16.5" customHeight="1">
      <c r="B69" s="8"/>
      <c r="C69" s="8" t="s">
        <v>133</v>
      </c>
      <c r="D69" s="8"/>
      <c r="E69" s="8"/>
      <c r="F69" s="8"/>
      <c r="G69" s="8"/>
      <c r="H69" s="8"/>
      <c r="I69" s="8"/>
      <c r="J69" s="75">
        <v>32000.0</v>
      </c>
    </row>
    <row r="70" ht="16.5" customHeight="1">
      <c r="B70" s="8"/>
      <c r="C70" s="8" t="s">
        <v>134</v>
      </c>
      <c r="G70" s="8"/>
      <c r="H70" s="8"/>
      <c r="I70" s="8"/>
      <c r="J70" s="75">
        <v>55000.0</v>
      </c>
    </row>
    <row r="71" ht="16.5" customHeight="1">
      <c r="B71" s="8"/>
      <c r="C71" s="8" t="s">
        <v>135</v>
      </c>
      <c r="D71" s="8"/>
      <c r="E71" s="8"/>
      <c r="F71" s="8"/>
      <c r="G71" s="8"/>
      <c r="H71" s="8"/>
      <c r="I71" s="8"/>
      <c r="J71" s="75">
        <v>60000.0</v>
      </c>
    </row>
    <row r="72" ht="16.5" customHeight="1">
      <c r="B72" s="8"/>
      <c r="C72" s="8" t="s">
        <v>136</v>
      </c>
      <c r="D72" s="8"/>
      <c r="E72" s="8"/>
      <c r="F72" s="8"/>
      <c r="G72" s="8"/>
      <c r="H72" s="8"/>
      <c r="I72" s="8"/>
      <c r="J72" s="75">
        <v>40000.0</v>
      </c>
    </row>
    <row r="73" ht="16.5" customHeight="1">
      <c r="B73" s="8"/>
      <c r="C73" s="8" t="s">
        <v>137</v>
      </c>
      <c r="D73" s="8"/>
      <c r="E73" s="8"/>
      <c r="F73" s="8"/>
      <c r="G73" s="8"/>
      <c r="H73" s="8"/>
      <c r="I73" s="8"/>
      <c r="J73" s="75">
        <v>27000.0</v>
      </c>
    </row>
    <row r="74" ht="16.5" customHeight="1">
      <c r="B74" s="8"/>
      <c r="C74" s="8" t="s">
        <v>138</v>
      </c>
      <c r="D74" s="8"/>
      <c r="E74" s="8"/>
      <c r="F74" s="8"/>
      <c r="G74" s="8"/>
      <c r="H74" s="8"/>
      <c r="I74" s="8"/>
      <c r="J74" s="75">
        <v>32000.0</v>
      </c>
    </row>
    <row r="75" ht="16.5" customHeight="1">
      <c r="B75" s="8"/>
      <c r="C75" s="8" t="s">
        <v>139</v>
      </c>
      <c r="D75" s="8"/>
      <c r="E75" s="8"/>
      <c r="F75" s="8"/>
      <c r="G75" s="8"/>
      <c r="H75" s="8"/>
      <c r="I75" s="8"/>
      <c r="J75" s="75">
        <v>27000.0</v>
      </c>
    </row>
    <row r="76" ht="16.5" customHeight="1">
      <c r="B76" s="8"/>
      <c r="C76" s="8" t="s">
        <v>140</v>
      </c>
      <c r="D76" s="8"/>
      <c r="E76" s="8"/>
      <c r="F76" s="8"/>
      <c r="G76" s="8"/>
      <c r="H76" s="8"/>
      <c r="I76" s="8"/>
      <c r="J76" s="75">
        <v>110000.0</v>
      </c>
    </row>
    <row r="77" ht="16.5" customHeight="1">
      <c r="B77" s="8"/>
      <c r="C77" s="8" t="s">
        <v>142</v>
      </c>
      <c r="D77" s="8"/>
      <c r="E77" s="8"/>
      <c r="F77" s="8"/>
      <c r="G77" s="8"/>
      <c r="H77" s="8"/>
      <c r="I77" s="8"/>
      <c r="J77" s="75">
        <v>30000.0</v>
      </c>
    </row>
    <row r="78" ht="16.5" customHeight="1">
      <c r="B78" s="8"/>
      <c r="C78" s="8" t="s">
        <v>143</v>
      </c>
      <c r="D78" s="8"/>
      <c r="E78" s="8"/>
      <c r="F78" s="8"/>
      <c r="G78" s="8"/>
      <c r="H78" s="8"/>
      <c r="I78" s="8"/>
      <c r="J78" s="75">
        <v>27000.0</v>
      </c>
    </row>
    <row r="79" ht="16.5" customHeight="1">
      <c r="B79" s="8"/>
      <c r="C79" s="8" t="s">
        <v>144</v>
      </c>
      <c r="D79" s="8"/>
      <c r="E79" s="8"/>
      <c r="F79" s="8"/>
      <c r="G79" s="8"/>
      <c r="H79" s="8"/>
      <c r="I79" s="8"/>
      <c r="J79" s="75">
        <v>33000.0</v>
      </c>
    </row>
    <row r="80" ht="16.5" customHeight="1">
      <c r="B80" s="8"/>
      <c r="C80" s="8" t="s">
        <v>145</v>
      </c>
      <c r="D80" s="8"/>
      <c r="E80" s="8"/>
      <c r="F80" s="8"/>
      <c r="G80" s="8"/>
      <c r="H80" s="8"/>
      <c r="I80" s="8"/>
      <c r="J80" s="75">
        <v>35000.0</v>
      </c>
    </row>
    <row r="81" ht="16.5" customHeight="1">
      <c r="B81" s="8"/>
      <c r="C81" s="8" t="s">
        <v>146</v>
      </c>
      <c r="D81" s="8"/>
      <c r="E81" s="8"/>
      <c r="F81" s="8"/>
      <c r="G81" s="8"/>
      <c r="H81" s="8"/>
      <c r="I81" s="8"/>
      <c r="J81" s="75">
        <v>33000.0</v>
      </c>
    </row>
    <row r="82" ht="16.5" customHeight="1">
      <c r="B82" s="8"/>
      <c r="C82" s="8" t="s">
        <v>147</v>
      </c>
      <c r="D82" s="8"/>
      <c r="E82" s="8"/>
      <c r="F82" s="8"/>
      <c r="G82" s="8"/>
      <c r="H82" s="8"/>
      <c r="I82" s="8"/>
      <c r="J82" s="75">
        <v>33000.0</v>
      </c>
    </row>
    <row r="83" ht="16.5" customHeight="1">
      <c r="B83" s="8"/>
      <c r="C83" s="8" t="s">
        <v>148</v>
      </c>
      <c r="D83" s="8"/>
      <c r="E83" s="8"/>
      <c r="F83" s="8"/>
      <c r="G83" s="8"/>
      <c r="H83" s="8"/>
      <c r="I83" s="8"/>
      <c r="J83" s="75">
        <v>35000.0</v>
      </c>
    </row>
    <row r="84" ht="16.5" customHeight="1">
      <c r="B84" s="8"/>
      <c r="C84" s="8" t="s">
        <v>149</v>
      </c>
      <c r="D84" s="8"/>
      <c r="E84" s="8"/>
      <c r="F84" s="8"/>
      <c r="G84" s="8"/>
      <c r="H84" s="8"/>
      <c r="I84" s="8"/>
      <c r="J84" s="75">
        <v>33000.0</v>
      </c>
    </row>
    <row r="85" ht="16.5" customHeight="1">
      <c r="B85" s="8"/>
      <c r="C85" s="8" t="s">
        <v>150</v>
      </c>
      <c r="D85" s="8"/>
      <c r="E85" s="8"/>
      <c r="F85" s="8"/>
      <c r="G85" s="8"/>
      <c r="H85" s="8"/>
      <c r="I85" s="8"/>
      <c r="J85" s="75">
        <v>33000.0</v>
      </c>
    </row>
    <row r="86" ht="16.5" customHeight="1">
      <c r="B86" s="8"/>
      <c r="C86" s="8" t="s">
        <v>151</v>
      </c>
      <c r="D86" s="8"/>
      <c r="E86" s="8"/>
      <c r="F86" s="8"/>
      <c r="G86" s="8"/>
      <c r="H86" s="8"/>
      <c r="I86" s="8"/>
      <c r="J86" s="75">
        <v>32000.0</v>
      </c>
    </row>
    <row r="87" ht="16.5" customHeight="1">
      <c r="B87" s="8"/>
      <c r="C87" s="8" t="s">
        <v>153</v>
      </c>
      <c r="D87" s="8"/>
      <c r="E87" s="8"/>
      <c r="F87" s="8"/>
      <c r="G87" s="8"/>
      <c r="H87" s="8"/>
      <c r="I87" s="8"/>
      <c r="J87" s="75">
        <v>33000.0</v>
      </c>
    </row>
    <row r="88" ht="16.5" customHeight="1">
      <c r="B88" s="8"/>
      <c r="C88" s="8" t="s">
        <v>154</v>
      </c>
      <c r="D88" s="8"/>
      <c r="E88" s="8"/>
      <c r="F88" s="8"/>
      <c r="G88" s="8"/>
      <c r="H88" s="8"/>
      <c r="I88" s="8"/>
      <c r="J88" s="75">
        <v>40000.0</v>
      </c>
    </row>
    <row r="89" ht="16.5" customHeight="1">
      <c r="B89" s="8"/>
      <c r="C89" s="8" t="s">
        <v>155</v>
      </c>
      <c r="D89" s="8"/>
      <c r="E89" s="8"/>
      <c r="F89" s="8"/>
      <c r="G89" s="8"/>
      <c r="H89" s="8"/>
      <c r="I89" s="8"/>
      <c r="J89" s="75">
        <v>35000.0</v>
      </c>
    </row>
    <row r="90" ht="16.5" customHeight="1">
      <c r="B90" s="8"/>
      <c r="C90" s="8" t="s">
        <v>156</v>
      </c>
      <c r="D90" s="8"/>
      <c r="E90" s="8"/>
      <c r="F90" s="8"/>
      <c r="G90" s="8"/>
      <c r="H90" s="8"/>
      <c r="I90" s="8"/>
      <c r="J90" s="74"/>
    </row>
    <row r="91" ht="16.5" customHeight="1">
      <c r="B91" s="8"/>
      <c r="C91" s="8" t="s">
        <v>157</v>
      </c>
      <c r="D91" s="8"/>
      <c r="E91" s="8"/>
      <c r="F91" s="8"/>
      <c r="G91" s="8"/>
      <c r="H91" s="8"/>
      <c r="I91" s="8"/>
      <c r="J91" s="74"/>
    </row>
    <row r="92" ht="16.5" customHeight="1">
      <c r="B92" s="8"/>
      <c r="C92" s="8" t="s">
        <v>158</v>
      </c>
      <c r="D92" s="8"/>
      <c r="E92" s="8"/>
      <c r="F92" s="8"/>
      <c r="G92" s="8"/>
      <c r="H92" s="8"/>
      <c r="I92" s="8"/>
      <c r="J92" s="74"/>
    </row>
    <row r="93" ht="16.5" customHeight="1">
      <c r="B93" s="8"/>
      <c r="C93" s="8" t="s">
        <v>159</v>
      </c>
      <c r="D93" s="8"/>
      <c r="E93" s="8"/>
      <c r="F93" s="8"/>
      <c r="G93" s="8"/>
      <c r="H93" s="8"/>
      <c r="I93" s="8"/>
      <c r="J93" s="75">
        <v>35000.0</v>
      </c>
    </row>
    <row r="94" ht="16.5" customHeight="1">
      <c r="B94" s="8"/>
      <c r="C94" s="8" t="s">
        <v>160</v>
      </c>
      <c r="D94" s="8"/>
      <c r="E94" s="8"/>
      <c r="F94" s="8"/>
      <c r="G94" s="8"/>
      <c r="H94" s="8"/>
      <c r="I94" s="8"/>
      <c r="J94" s="75">
        <v>30000.0</v>
      </c>
    </row>
    <row r="95" ht="16.5" customHeight="1">
      <c r="B95" s="8"/>
      <c r="C95" s="8" t="s">
        <v>161</v>
      </c>
      <c r="D95" s="8"/>
      <c r="E95" s="8"/>
      <c r="F95" s="8"/>
      <c r="G95" s="8"/>
      <c r="H95" s="8"/>
      <c r="I95" s="8"/>
      <c r="J95" s="75">
        <v>65000.0</v>
      </c>
    </row>
    <row r="96" ht="16.5" customHeight="1">
      <c r="B96" s="8"/>
      <c r="C96" s="8" t="s">
        <v>163</v>
      </c>
      <c r="D96" s="8"/>
      <c r="E96" s="8"/>
      <c r="F96" s="8"/>
      <c r="G96" s="8"/>
      <c r="H96" s="8"/>
      <c r="I96" s="8"/>
      <c r="J96" s="75">
        <v>33000.0</v>
      </c>
    </row>
    <row r="97" ht="16.5" customHeight="1">
      <c r="B97" s="8"/>
      <c r="C97" s="8" t="s">
        <v>164</v>
      </c>
      <c r="D97" s="8"/>
      <c r="E97" s="8"/>
      <c r="F97" s="8"/>
      <c r="G97" s="8"/>
      <c r="H97" s="8"/>
      <c r="I97" s="8"/>
      <c r="J97" s="75">
        <v>40000.0</v>
      </c>
    </row>
    <row r="98" ht="16.5" customHeight="1">
      <c r="B98" s="8"/>
      <c r="C98" s="8" t="s">
        <v>165</v>
      </c>
      <c r="D98" s="8"/>
      <c r="E98" s="8"/>
      <c r="F98" s="8"/>
      <c r="G98" s="8"/>
      <c r="H98" s="8"/>
      <c r="I98" s="8"/>
      <c r="J98" s="74"/>
    </row>
    <row r="99" ht="16.5" customHeight="1">
      <c r="B99" s="8"/>
      <c r="C99" s="8" t="s">
        <v>166</v>
      </c>
      <c r="D99" s="8"/>
      <c r="E99" s="8"/>
      <c r="F99" s="8"/>
      <c r="G99" s="8"/>
      <c r="H99" s="8"/>
      <c r="I99" s="8"/>
      <c r="J99" s="74"/>
    </row>
    <row r="100" ht="16.5" customHeight="1">
      <c r="B100" s="8"/>
      <c r="C100" s="8" t="s">
        <v>167</v>
      </c>
      <c r="D100" s="8"/>
      <c r="E100" s="8"/>
      <c r="F100" s="8"/>
      <c r="G100" s="8"/>
      <c r="H100" s="8"/>
      <c r="I100" s="8"/>
      <c r="J100" s="74"/>
    </row>
    <row r="101" ht="16.5" customHeight="1">
      <c r="B101" s="8"/>
      <c r="C101" s="8" t="s">
        <v>168</v>
      </c>
      <c r="D101" s="8"/>
      <c r="E101" s="8"/>
      <c r="F101" s="8"/>
      <c r="G101" s="8"/>
      <c r="H101" s="8"/>
      <c r="I101" s="8"/>
      <c r="J101" s="74"/>
    </row>
    <row r="102" ht="16.5" customHeight="1">
      <c r="B102" s="8"/>
      <c r="C102" s="8" t="s">
        <v>169</v>
      </c>
      <c r="D102" s="8"/>
      <c r="E102" s="8"/>
      <c r="F102" s="8"/>
      <c r="G102" s="8"/>
      <c r="H102" s="8"/>
      <c r="I102" s="8"/>
      <c r="J102" s="74"/>
    </row>
    <row r="103" ht="16.5" customHeight="1">
      <c r="B103" s="8"/>
      <c r="C103" s="8" t="s">
        <v>170</v>
      </c>
      <c r="D103" s="8"/>
      <c r="E103" s="8"/>
      <c r="F103" s="8"/>
      <c r="G103" s="8"/>
      <c r="H103" s="8"/>
      <c r="I103" s="8"/>
      <c r="J103" s="74"/>
    </row>
    <row r="104" ht="16.5" customHeight="1">
      <c r="B104" s="8"/>
      <c r="C104" s="8" t="s">
        <v>171</v>
      </c>
      <c r="D104" s="8"/>
      <c r="E104" s="8"/>
      <c r="F104" s="8"/>
      <c r="G104" s="8"/>
      <c r="H104" s="8"/>
      <c r="I104" s="8"/>
      <c r="J104" s="74"/>
    </row>
    <row r="105" ht="16.5" customHeight="1">
      <c r="B105" s="8"/>
      <c r="C105" s="8" t="s">
        <v>173</v>
      </c>
      <c r="D105" s="8"/>
      <c r="E105" s="8"/>
      <c r="F105" s="8"/>
      <c r="G105" s="8"/>
      <c r="H105" s="8"/>
      <c r="I105" s="8"/>
      <c r="J105" s="74"/>
    </row>
    <row r="106" ht="16.5" customHeight="1">
      <c r="B106" s="8"/>
      <c r="C106" s="8" t="s">
        <v>174</v>
      </c>
      <c r="D106" s="8"/>
      <c r="E106" s="8"/>
      <c r="F106" s="8"/>
      <c r="G106" s="8"/>
      <c r="H106" s="8"/>
      <c r="I106" s="8"/>
      <c r="J106" s="74"/>
    </row>
    <row r="107" ht="16.5" customHeight="1">
      <c r="B107" s="8"/>
      <c r="C107" s="8" t="s">
        <v>175</v>
      </c>
      <c r="D107" s="8"/>
      <c r="E107" s="8"/>
      <c r="F107" s="8"/>
      <c r="G107" s="8"/>
      <c r="H107" s="8"/>
      <c r="I107" s="8"/>
      <c r="J107" s="74"/>
    </row>
    <row r="108" ht="16.5" customHeight="1">
      <c r="B108" s="8"/>
      <c r="C108" s="8" t="s">
        <v>176</v>
      </c>
      <c r="D108" s="8"/>
      <c r="E108" s="8"/>
      <c r="F108" s="8"/>
      <c r="G108" s="8"/>
      <c r="H108" s="8"/>
      <c r="I108" s="8"/>
      <c r="J108" s="74"/>
    </row>
    <row r="109" ht="16.5" customHeight="1">
      <c r="B109" s="8"/>
      <c r="C109" s="8" t="s">
        <v>177</v>
      </c>
      <c r="D109" s="8"/>
      <c r="E109" s="8"/>
      <c r="F109" s="8"/>
      <c r="G109" s="8"/>
      <c r="H109" s="8"/>
      <c r="I109" s="8"/>
      <c r="J109" s="74"/>
    </row>
    <row r="110" ht="16.5" customHeight="1">
      <c r="B110" s="8"/>
      <c r="C110" s="8" t="s">
        <v>178</v>
      </c>
      <c r="D110" s="8"/>
      <c r="E110" s="8"/>
      <c r="F110" s="8"/>
      <c r="G110" s="8"/>
      <c r="H110" s="8"/>
      <c r="I110" s="8"/>
      <c r="J110" s="74"/>
    </row>
    <row r="111" ht="16.5" customHeight="1">
      <c r="B111" s="8"/>
      <c r="C111" s="8" t="s">
        <v>179</v>
      </c>
      <c r="D111" s="8"/>
      <c r="E111" s="8"/>
      <c r="F111" s="8"/>
      <c r="G111" s="8"/>
      <c r="H111" s="8"/>
      <c r="I111" s="8"/>
      <c r="J111" s="74"/>
    </row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F22:G22"/>
    <mergeCell ref="F23:G23"/>
    <mergeCell ref="F24:G24"/>
    <mergeCell ref="F25:G25"/>
    <mergeCell ref="F26:G26"/>
    <mergeCell ref="B27:E27"/>
    <mergeCell ref="F27:G27"/>
    <mergeCell ref="B28:E28"/>
    <mergeCell ref="F28:G28"/>
    <mergeCell ref="B29:E29"/>
    <mergeCell ref="F29:G29"/>
    <mergeCell ref="B33:E33"/>
    <mergeCell ref="B34:E34"/>
    <mergeCell ref="F34:G34"/>
    <mergeCell ref="B35:E35"/>
    <mergeCell ref="F35:G35"/>
    <mergeCell ref="C63:I63"/>
    <mergeCell ref="C64:I64"/>
    <mergeCell ref="C70:F70"/>
    <mergeCell ref="B30:E30"/>
    <mergeCell ref="F30:G30"/>
    <mergeCell ref="B31:E31"/>
    <mergeCell ref="F31:G31"/>
    <mergeCell ref="B32:E32"/>
    <mergeCell ref="F32:G32"/>
    <mergeCell ref="F33:G33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43"/>
    <col customWidth="1" min="2" max="2" width="14.57"/>
    <col customWidth="1" min="3" max="3" width="1.29"/>
    <col customWidth="1" min="4" max="4" width="26.71"/>
    <col customWidth="1" min="5" max="5" width="24.57"/>
    <col customWidth="1" min="6" max="6" width="8.71"/>
    <col customWidth="1" min="7" max="7" width="1.29"/>
    <col customWidth="1" min="8" max="8" width="12.43"/>
    <col customWidth="1" min="9" max="9" width="19.14"/>
    <col customWidth="1" min="10" max="10" width="8.71"/>
    <col customWidth="1" min="11" max="11" width="27.43"/>
    <col customWidth="1" min="12" max="12" width="12.29"/>
    <col customWidth="1" min="13" max="26" width="8.71"/>
  </cols>
  <sheetData>
    <row r="1" ht="59.25" customHeight="1">
      <c r="A1" s="1" t="s">
        <v>0</v>
      </c>
    </row>
    <row r="2" ht="37.5" customHeight="1">
      <c r="A2" s="2" t="s">
        <v>1</v>
      </c>
    </row>
    <row r="3" ht="16.5" customHeight="1">
      <c r="A3" s="3" t="s">
        <v>2</v>
      </c>
    </row>
    <row r="4" ht="26.25" customHeight="1">
      <c r="A4" s="4" t="s">
        <v>3</v>
      </c>
      <c r="N4" s="5" t="s">
        <v>4</v>
      </c>
    </row>
    <row r="5" ht="17.25" customHeight="1">
      <c r="N5" s="6"/>
    </row>
    <row r="6" ht="16.5" customHeight="1">
      <c r="A6" s="7" t="s">
        <v>5</v>
      </c>
      <c r="C6" s="8"/>
      <c r="D6" s="8"/>
      <c r="E6" s="8"/>
      <c r="F6" s="8"/>
      <c r="G6" s="9"/>
      <c r="H6" s="9"/>
      <c r="I6" s="9"/>
      <c r="J6" s="9"/>
      <c r="L6" s="5"/>
    </row>
    <row r="7" ht="16.5" customHeight="1">
      <c r="A7" s="9" t="s">
        <v>6</v>
      </c>
      <c r="B7" s="9"/>
      <c r="C7" s="9"/>
      <c r="D7" s="10"/>
      <c r="E7" s="9"/>
      <c r="F7" s="9"/>
      <c r="G7" s="9"/>
      <c r="H7" s="78" t="s">
        <v>260</v>
      </c>
      <c r="I7" s="9"/>
      <c r="J7" s="9"/>
      <c r="L7" s="5"/>
    </row>
    <row r="8" ht="16.5" customHeight="1">
      <c r="A8" s="12" t="s">
        <v>10</v>
      </c>
      <c r="E8" s="9"/>
      <c r="F8" s="9"/>
      <c r="G8" s="9"/>
      <c r="H8" s="9"/>
      <c r="I8" s="9"/>
      <c r="J8" s="9"/>
      <c r="L8" s="5"/>
    </row>
    <row r="9" ht="16.5" customHeight="1">
      <c r="A9" s="14" t="s">
        <v>12</v>
      </c>
      <c r="C9" s="9"/>
      <c r="D9" s="9"/>
      <c r="E9" s="9"/>
      <c r="F9" s="9"/>
      <c r="G9" s="9"/>
      <c r="H9" s="15"/>
      <c r="I9" s="9"/>
      <c r="J9" s="9"/>
      <c r="N9" s="16"/>
    </row>
    <row r="10" ht="34.5" customHeight="1">
      <c r="A10" s="17" t="s">
        <v>13</v>
      </c>
      <c r="K10" s="18"/>
      <c r="L10" s="19"/>
      <c r="M10" s="18"/>
      <c r="N10" s="16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16.5" customHeight="1">
      <c r="A11" s="20"/>
      <c r="N11" s="21"/>
      <c r="O11" s="5" t="s">
        <v>242</v>
      </c>
    </row>
    <row r="12" ht="16.5" customHeight="1">
      <c r="A12" s="22"/>
      <c r="B12" s="12" t="s">
        <v>14</v>
      </c>
      <c r="C12" s="5" t="s">
        <v>15</v>
      </c>
      <c r="D12" s="12" t="s">
        <v>261</v>
      </c>
      <c r="K12" s="23"/>
      <c r="L12" s="24"/>
      <c r="N12" s="21"/>
      <c r="O12" s="5" t="s">
        <v>244</v>
      </c>
    </row>
    <row r="13" ht="16.5" customHeight="1">
      <c r="A13" s="22"/>
      <c r="B13" s="12" t="s">
        <v>23</v>
      </c>
      <c r="C13" s="5" t="s">
        <v>15</v>
      </c>
      <c r="D13" s="9" t="s">
        <v>24</v>
      </c>
      <c r="N13" s="21"/>
      <c r="O13" s="9" t="s">
        <v>245</v>
      </c>
    </row>
    <row r="14" ht="16.5" customHeight="1">
      <c r="A14" s="22"/>
      <c r="B14" s="12" t="s">
        <v>28</v>
      </c>
      <c r="C14" s="5" t="s">
        <v>15</v>
      </c>
      <c r="D14" s="9" t="s">
        <v>29</v>
      </c>
      <c r="N14" s="21"/>
      <c r="O14" s="9" t="s">
        <v>246</v>
      </c>
    </row>
    <row r="15" ht="16.5" customHeight="1">
      <c r="A15" s="22"/>
      <c r="B15" s="12" t="s">
        <v>33</v>
      </c>
      <c r="C15" s="5" t="s">
        <v>15</v>
      </c>
      <c r="D15" s="9" t="s">
        <v>34</v>
      </c>
      <c r="H15" s="5" t="s">
        <v>35</v>
      </c>
      <c r="N15" s="21"/>
      <c r="O15" s="9" t="s">
        <v>247</v>
      </c>
    </row>
    <row r="16" ht="16.5" customHeight="1">
      <c r="A16" s="22"/>
      <c r="B16" s="12" t="s">
        <v>38</v>
      </c>
      <c r="C16" s="5" t="s">
        <v>15</v>
      </c>
      <c r="D16" s="9" t="s">
        <v>39</v>
      </c>
      <c r="E16" s="5" t="s">
        <v>40</v>
      </c>
      <c r="N16" s="21"/>
      <c r="O16" s="9" t="s">
        <v>248</v>
      </c>
    </row>
    <row r="17" ht="16.5" customHeight="1">
      <c r="A17" s="22"/>
      <c r="B17" s="12" t="s">
        <v>44</v>
      </c>
      <c r="C17" s="5" t="s">
        <v>15</v>
      </c>
      <c r="D17" s="9" t="s">
        <v>45</v>
      </c>
      <c r="N17" s="21"/>
      <c r="O17" s="9" t="s">
        <v>249</v>
      </c>
    </row>
    <row r="18" ht="16.5" customHeight="1">
      <c r="A18" s="22"/>
      <c r="B18" s="12"/>
      <c r="C18" s="5"/>
      <c r="D18" s="9"/>
      <c r="N18" s="21"/>
      <c r="O18" s="5" t="s">
        <v>250</v>
      </c>
    </row>
    <row r="19" ht="16.5" customHeight="1">
      <c r="A19" s="3"/>
      <c r="B19" s="3"/>
      <c r="C19" s="3"/>
      <c r="D19" s="3"/>
      <c r="E19" s="3"/>
      <c r="F19" s="3"/>
      <c r="G19" s="3"/>
      <c r="H19" s="3"/>
      <c r="I19" s="3"/>
      <c r="N19" s="21"/>
      <c r="O19" s="5" t="s">
        <v>251</v>
      </c>
    </row>
    <row r="20" ht="16.5" customHeight="1">
      <c r="A20" s="32" t="s">
        <v>55</v>
      </c>
      <c r="B20" s="33" t="s">
        <v>56</v>
      </c>
      <c r="C20" s="34"/>
      <c r="D20" s="34"/>
      <c r="E20" s="35"/>
      <c r="F20" s="33" t="s">
        <v>57</v>
      </c>
      <c r="G20" s="35"/>
      <c r="H20" s="36" t="s">
        <v>58</v>
      </c>
      <c r="I20" s="37" t="s">
        <v>60</v>
      </c>
      <c r="N20" s="21"/>
      <c r="O20" s="5" t="s">
        <v>252</v>
      </c>
    </row>
    <row r="21" ht="16.5" customHeight="1">
      <c r="A21" s="39">
        <v>1.0</v>
      </c>
      <c r="B21" s="5" t="s">
        <v>193</v>
      </c>
      <c r="C21" s="69"/>
      <c r="D21" s="69"/>
      <c r="E21" s="80"/>
      <c r="F21" s="42">
        <v>13.0</v>
      </c>
      <c r="G21" s="30"/>
      <c r="H21" s="43">
        <v>52.0</v>
      </c>
      <c r="I21" s="47">
        <f t="shared" ref="I21:I35" si="1">F21*H21</f>
        <v>676</v>
      </c>
      <c r="O21" s="5" t="s">
        <v>253</v>
      </c>
    </row>
    <row r="22" ht="16.5" customHeight="1">
      <c r="A22" s="39">
        <v>2.0</v>
      </c>
      <c r="B22" s="31" t="s">
        <v>198</v>
      </c>
      <c r="C22" s="81"/>
      <c r="D22" s="81"/>
      <c r="E22" s="81"/>
      <c r="F22" s="42">
        <v>4.0</v>
      </c>
      <c r="G22" s="30"/>
      <c r="H22" s="49">
        <v>40.0</v>
      </c>
      <c r="I22" s="47">
        <f t="shared" si="1"/>
        <v>160</v>
      </c>
    </row>
    <row r="23" ht="16.5" customHeight="1">
      <c r="A23" s="39">
        <v>3.0</v>
      </c>
      <c r="B23" s="5" t="s">
        <v>264</v>
      </c>
      <c r="C23" s="31"/>
      <c r="D23" s="31"/>
      <c r="E23" s="31"/>
      <c r="F23" s="42">
        <v>2.0</v>
      </c>
      <c r="G23" s="30"/>
      <c r="H23" s="49">
        <v>30.0</v>
      </c>
      <c r="I23" s="47">
        <f t="shared" si="1"/>
        <v>60</v>
      </c>
    </row>
    <row r="24" ht="16.5" customHeight="1">
      <c r="A24" s="39">
        <v>4.0</v>
      </c>
      <c r="B24" s="31" t="s">
        <v>265</v>
      </c>
      <c r="C24" s="31"/>
      <c r="D24" s="31"/>
      <c r="E24" s="31"/>
      <c r="F24" s="42">
        <v>2.0</v>
      </c>
      <c r="G24" s="30"/>
      <c r="H24" s="50">
        <v>48.0</v>
      </c>
      <c r="I24" s="47">
        <f t="shared" si="1"/>
        <v>96</v>
      </c>
    </row>
    <row r="25" ht="16.5" customHeight="1">
      <c r="A25" s="39">
        <v>5.0</v>
      </c>
      <c r="B25" s="31" t="s">
        <v>194</v>
      </c>
      <c r="C25" s="31"/>
      <c r="D25" s="31"/>
      <c r="E25" s="31"/>
      <c r="F25" s="42">
        <v>2.0</v>
      </c>
      <c r="G25" s="30"/>
      <c r="H25" s="50">
        <v>25.0</v>
      </c>
      <c r="I25" s="47">
        <f t="shared" si="1"/>
        <v>50</v>
      </c>
    </row>
    <row r="26" ht="16.5" customHeight="1">
      <c r="A26" s="39">
        <v>6.0</v>
      </c>
      <c r="B26" s="31" t="s">
        <v>84</v>
      </c>
      <c r="C26" s="31"/>
      <c r="D26" s="31"/>
      <c r="E26" s="31"/>
      <c r="F26" s="42">
        <v>13.0</v>
      </c>
      <c r="G26" s="30"/>
      <c r="H26" s="50">
        <v>25.0</v>
      </c>
      <c r="I26" s="47">
        <f t="shared" si="1"/>
        <v>325</v>
      </c>
    </row>
    <row r="27" ht="16.5" customHeight="1">
      <c r="A27" s="39">
        <v>7.0</v>
      </c>
      <c r="B27" s="31" t="s">
        <v>74</v>
      </c>
      <c r="C27" s="31"/>
      <c r="D27" s="31"/>
      <c r="E27" s="31"/>
      <c r="F27" s="42">
        <v>13.0</v>
      </c>
      <c r="G27" s="30"/>
      <c r="H27" s="50">
        <v>29.0</v>
      </c>
      <c r="I27" s="47">
        <f t="shared" si="1"/>
        <v>377</v>
      </c>
    </row>
    <row r="28" ht="16.5" customHeight="1">
      <c r="A28" s="39">
        <v>8.0</v>
      </c>
      <c r="B28" s="31" t="s">
        <v>97</v>
      </c>
      <c r="C28" s="31"/>
      <c r="D28" s="31"/>
      <c r="E28" s="31"/>
      <c r="F28" s="42">
        <v>2.0</v>
      </c>
      <c r="G28" s="30"/>
      <c r="H28" s="50">
        <v>48.0</v>
      </c>
      <c r="I28" s="47">
        <f t="shared" si="1"/>
        <v>96</v>
      </c>
    </row>
    <row r="29" ht="16.5" customHeight="1">
      <c r="A29" s="39">
        <v>9.0</v>
      </c>
      <c r="B29" s="31" t="s">
        <v>78</v>
      </c>
      <c r="C29" s="31"/>
      <c r="D29" s="31"/>
      <c r="E29" s="31"/>
      <c r="F29" s="42">
        <v>13.0</v>
      </c>
      <c r="G29" s="30"/>
      <c r="H29" s="50">
        <v>36.0</v>
      </c>
      <c r="I29" s="47">
        <f t="shared" si="1"/>
        <v>468</v>
      </c>
    </row>
    <row r="30" ht="16.5" customHeight="1">
      <c r="A30" s="39">
        <v>10.0</v>
      </c>
      <c r="B30" s="31" t="s">
        <v>234</v>
      </c>
      <c r="C30" s="31"/>
      <c r="D30" s="31"/>
      <c r="E30" s="31"/>
      <c r="F30" s="42">
        <v>13.0</v>
      </c>
      <c r="G30" s="30"/>
      <c r="H30" s="50">
        <v>28.0</v>
      </c>
      <c r="I30" s="47">
        <f t="shared" si="1"/>
        <v>364</v>
      </c>
    </row>
    <row r="31" ht="16.5" customHeight="1">
      <c r="A31" s="39">
        <v>11.0</v>
      </c>
      <c r="B31" s="31" t="s">
        <v>199</v>
      </c>
      <c r="C31" s="31"/>
      <c r="D31" s="31"/>
      <c r="E31" s="31"/>
      <c r="F31" s="42">
        <v>2.0</v>
      </c>
      <c r="G31" s="30"/>
      <c r="H31" s="50">
        <v>48.0</v>
      </c>
      <c r="I31" s="47">
        <f t="shared" si="1"/>
        <v>96</v>
      </c>
    </row>
    <row r="32" ht="16.5" customHeight="1">
      <c r="A32" s="39">
        <v>12.0</v>
      </c>
      <c r="B32" s="31" t="s">
        <v>254</v>
      </c>
      <c r="C32" s="31"/>
      <c r="D32" s="31"/>
      <c r="E32" s="31"/>
      <c r="F32" s="42">
        <v>3.0</v>
      </c>
      <c r="G32" s="30"/>
      <c r="H32" s="50">
        <v>60.0</v>
      </c>
      <c r="I32" s="47">
        <f t="shared" si="1"/>
        <v>180</v>
      </c>
    </row>
    <row r="33" ht="16.5" customHeight="1">
      <c r="A33" s="39">
        <v>13.0</v>
      </c>
      <c r="B33" s="69" t="s">
        <v>213</v>
      </c>
      <c r="C33" s="82"/>
      <c r="D33" s="82"/>
      <c r="E33" s="83"/>
      <c r="F33" s="42">
        <v>2.0</v>
      </c>
      <c r="G33" s="30"/>
      <c r="H33" s="50">
        <v>86.0</v>
      </c>
      <c r="I33" s="47">
        <f t="shared" si="1"/>
        <v>172</v>
      </c>
    </row>
    <row r="34" ht="16.5" customHeight="1">
      <c r="A34" s="39">
        <v>14.0</v>
      </c>
      <c r="B34" s="80" t="s">
        <v>266</v>
      </c>
      <c r="C34" s="80"/>
      <c r="D34" s="80"/>
      <c r="E34" s="80"/>
      <c r="F34" s="42">
        <v>6.0</v>
      </c>
      <c r="G34" s="30"/>
      <c r="H34" s="50">
        <v>27.0</v>
      </c>
      <c r="I34" s="47">
        <f t="shared" si="1"/>
        <v>162</v>
      </c>
    </row>
    <row r="35" ht="16.5" customHeight="1">
      <c r="A35" s="39">
        <v>15.0</v>
      </c>
      <c r="B35" s="51" t="s">
        <v>90</v>
      </c>
      <c r="C35" s="29"/>
      <c r="D35" s="29"/>
      <c r="E35" s="30"/>
      <c r="F35" s="42">
        <f>SUM(F21:G34)/30</f>
        <v>3</v>
      </c>
      <c r="G35" s="30"/>
      <c r="H35" s="49">
        <v>120.0</v>
      </c>
      <c r="I35" s="47">
        <f t="shared" si="1"/>
        <v>360</v>
      </c>
    </row>
    <row r="36" ht="16.5" customHeight="1">
      <c r="A36" s="52" t="s">
        <v>93</v>
      </c>
      <c r="B36" s="53"/>
      <c r="C36" s="53"/>
      <c r="D36" s="53"/>
      <c r="E36" s="53"/>
      <c r="F36" s="53">
        <f>SUM(F21:G34)</f>
        <v>90</v>
      </c>
      <c r="G36" s="53"/>
      <c r="H36" s="54" t="s">
        <v>98</v>
      </c>
      <c r="I36" s="55">
        <f>SUM(I21:I35)</f>
        <v>3642</v>
      </c>
    </row>
    <row r="37" ht="28.5" customHeight="1">
      <c r="A37" s="56" t="s">
        <v>102</v>
      </c>
      <c r="B37" s="9"/>
      <c r="C37" s="9"/>
      <c r="D37" s="9"/>
      <c r="E37" s="9"/>
      <c r="F37" s="9"/>
      <c r="G37" s="9"/>
      <c r="H37" s="9"/>
    </row>
    <row r="38" ht="16.5" customHeight="1">
      <c r="A38" s="9"/>
      <c r="E38" s="9"/>
    </row>
    <row r="39" ht="16.5" customHeight="1">
      <c r="A39" s="58" t="s">
        <v>104</v>
      </c>
      <c r="B39" s="9"/>
      <c r="C39" s="9"/>
      <c r="E39" s="9"/>
    </row>
    <row r="40" ht="7.5" customHeight="1">
      <c r="L40" s="10"/>
      <c r="M40" s="10"/>
      <c r="N40" s="9"/>
      <c r="P40" s="9"/>
    </row>
    <row r="41" ht="16.5" customHeight="1">
      <c r="A41" s="61" t="s">
        <v>105</v>
      </c>
      <c r="B41" s="62"/>
      <c r="C41" s="5" t="s">
        <v>15</v>
      </c>
      <c r="D41" s="9" t="s">
        <v>107</v>
      </c>
      <c r="F41" s="62"/>
      <c r="K41" s="63"/>
      <c r="L41" s="10"/>
      <c r="M41" s="10"/>
      <c r="N41" s="9"/>
      <c r="P41" s="9"/>
    </row>
    <row r="42" ht="16.5" customHeight="1">
      <c r="A42" s="61" t="s">
        <v>108</v>
      </c>
      <c r="C42" s="5" t="s">
        <v>15</v>
      </c>
      <c r="D42" s="9" t="s">
        <v>107</v>
      </c>
      <c r="L42" s="10"/>
      <c r="M42" s="10"/>
      <c r="N42" s="9"/>
    </row>
    <row r="43" ht="16.5" customHeight="1">
      <c r="D43" s="9" t="s">
        <v>109</v>
      </c>
      <c r="L43" s="10"/>
      <c r="M43" s="10"/>
      <c r="N43" s="9"/>
    </row>
    <row r="44" ht="16.5" customHeight="1">
      <c r="L44" s="10"/>
      <c r="M44" s="62"/>
      <c r="Q44" s="62"/>
    </row>
    <row r="45" ht="16.5" customHeight="1">
      <c r="A45" s="62"/>
      <c r="B45" s="62"/>
    </row>
    <row r="46" ht="16.5" customHeight="1"/>
    <row r="47" ht="16.5" customHeight="1">
      <c r="A47" s="9"/>
      <c r="D47" s="9"/>
      <c r="F47" s="62"/>
    </row>
    <row r="48" ht="16.5" customHeight="1">
      <c r="A48" s="9"/>
      <c r="D48" s="9"/>
      <c r="F48" s="62"/>
    </row>
    <row r="49" ht="16.5" customHeight="1"/>
    <row r="50" ht="16.5" customHeight="1"/>
    <row r="51" ht="16.5" customHeight="1">
      <c r="H51" s="23"/>
      <c r="I51" s="66"/>
      <c r="J51" s="66"/>
    </row>
    <row r="52" ht="16.5" customHeight="1">
      <c r="E52" s="68" t="s">
        <v>117</v>
      </c>
      <c r="F52" s="69"/>
      <c r="G52" s="69"/>
      <c r="H52" s="69"/>
      <c r="I52" s="69"/>
    </row>
    <row r="53" ht="16.5" customHeight="1"/>
    <row r="54" ht="16.5" customHeight="1">
      <c r="A54" s="70"/>
    </row>
    <row r="55" ht="16.5" customHeight="1">
      <c r="A55" s="70"/>
    </row>
    <row r="56" ht="16.5" customHeight="1">
      <c r="A56" s="26"/>
    </row>
    <row r="57" ht="16.5" customHeight="1">
      <c r="A57" s="71"/>
    </row>
    <row r="58" ht="16.5" customHeight="1"/>
    <row r="59" ht="16.5" customHeight="1"/>
    <row r="60" ht="16.5" customHeight="1"/>
    <row r="61" ht="16.5" customHeight="1"/>
    <row r="62" ht="16.5" customHeight="1">
      <c r="B62" s="8"/>
      <c r="C62" s="72" t="s">
        <v>124</v>
      </c>
      <c r="D62" s="73"/>
      <c r="E62" s="73"/>
      <c r="F62" s="73"/>
      <c r="G62" s="8"/>
      <c r="H62" s="8"/>
      <c r="I62" s="8"/>
      <c r="J62" s="74"/>
    </row>
    <row r="63" ht="16.5" customHeight="1">
      <c r="B63" s="8"/>
      <c r="C63" s="8" t="s">
        <v>126</v>
      </c>
      <c r="J63" s="75">
        <v>35000.0</v>
      </c>
    </row>
    <row r="64" ht="16.5" customHeight="1">
      <c r="B64" s="8"/>
      <c r="C64" s="8" t="s">
        <v>127</v>
      </c>
      <c r="J64" s="75">
        <v>40000.0</v>
      </c>
    </row>
    <row r="65" ht="16.5" customHeight="1">
      <c r="B65" s="8"/>
      <c r="C65" s="8" t="s">
        <v>128</v>
      </c>
      <c r="D65" s="8"/>
      <c r="E65" s="8"/>
      <c r="F65" s="8"/>
      <c r="G65" s="8"/>
      <c r="H65" s="8"/>
      <c r="I65" s="8"/>
      <c r="J65" s="75">
        <v>65000.0</v>
      </c>
    </row>
    <row r="66" ht="16.5" customHeight="1">
      <c r="B66" s="8"/>
      <c r="C66" s="8" t="s">
        <v>129</v>
      </c>
      <c r="D66" s="8"/>
      <c r="E66" s="8"/>
      <c r="F66" s="8"/>
      <c r="G66" s="8"/>
      <c r="H66" s="8"/>
      <c r="I66" s="8"/>
      <c r="J66" s="75">
        <v>65000.0</v>
      </c>
    </row>
    <row r="67" ht="16.5" customHeight="1">
      <c r="B67" s="8"/>
      <c r="C67" s="8" t="s">
        <v>130</v>
      </c>
      <c r="D67" s="8"/>
      <c r="E67" s="8"/>
      <c r="F67" s="8"/>
      <c r="G67" s="8"/>
      <c r="H67" s="8"/>
      <c r="I67" s="8"/>
      <c r="J67" s="75">
        <v>35000.0</v>
      </c>
    </row>
    <row r="68" ht="16.5" customHeight="1">
      <c r="B68" s="8"/>
      <c r="C68" s="8" t="s">
        <v>131</v>
      </c>
      <c r="D68" s="8"/>
      <c r="E68" s="8"/>
      <c r="F68" s="8"/>
      <c r="G68" s="8"/>
      <c r="H68" s="8"/>
      <c r="I68" s="8"/>
      <c r="J68" s="75">
        <v>37000.0</v>
      </c>
    </row>
    <row r="69" ht="16.5" customHeight="1">
      <c r="B69" s="8"/>
      <c r="C69" s="8" t="s">
        <v>133</v>
      </c>
      <c r="D69" s="8"/>
      <c r="E69" s="8"/>
      <c r="F69" s="8"/>
      <c r="G69" s="8"/>
      <c r="H69" s="8"/>
      <c r="I69" s="8"/>
      <c r="J69" s="75">
        <v>32000.0</v>
      </c>
    </row>
    <row r="70" ht="16.5" customHeight="1">
      <c r="B70" s="8"/>
      <c r="C70" s="8" t="s">
        <v>134</v>
      </c>
      <c r="G70" s="8"/>
      <c r="H70" s="8"/>
      <c r="I70" s="8"/>
      <c r="J70" s="75">
        <v>55000.0</v>
      </c>
    </row>
    <row r="71" ht="16.5" customHeight="1">
      <c r="B71" s="8"/>
      <c r="C71" s="8" t="s">
        <v>135</v>
      </c>
      <c r="D71" s="8"/>
      <c r="E71" s="8"/>
      <c r="F71" s="8"/>
      <c r="G71" s="8"/>
      <c r="H71" s="8"/>
      <c r="I71" s="8"/>
      <c r="J71" s="75">
        <v>60000.0</v>
      </c>
    </row>
    <row r="72" ht="16.5" customHeight="1">
      <c r="B72" s="8"/>
      <c r="C72" s="8" t="s">
        <v>136</v>
      </c>
      <c r="D72" s="8"/>
      <c r="E72" s="8"/>
      <c r="F72" s="8"/>
      <c r="G72" s="8"/>
      <c r="H72" s="8"/>
      <c r="I72" s="8"/>
      <c r="J72" s="75">
        <v>40000.0</v>
      </c>
    </row>
    <row r="73" ht="16.5" customHeight="1">
      <c r="B73" s="8"/>
      <c r="C73" s="8" t="s">
        <v>137</v>
      </c>
      <c r="D73" s="8"/>
      <c r="E73" s="8"/>
      <c r="F73" s="8"/>
      <c r="G73" s="8"/>
      <c r="H73" s="8"/>
      <c r="I73" s="8"/>
      <c r="J73" s="75">
        <v>27000.0</v>
      </c>
    </row>
    <row r="74" ht="16.5" customHeight="1">
      <c r="B74" s="8"/>
      <c r="C74" s="8" t="s">
        <v>138</v>
      </c>
      <c r="D74" s="8"/>
      <c r="E74" s="8"/>
      <c r="F74" s="8"/>
      <c r="G74" s="8"/>
      <c r="H74" s="8"/>
      <c r="I74" s="8"/>
      <c r="J74" s="75">
        <v>32000.0</v>
      </c>
    </row>
    <row r="75" ht="16.5" customHeight="1">
      <c r="B75" s="8"/>
      <c r="C75" s="8" t="s">
        <v>139</v>
      </c>
      <c r="D75" s="8"/>
      <c r="E75" s="8"/>
      <c r="F75" s="8"/>
      <c r="G75" s="8"/>
      <c r="H75" s="8"/>
      <c r="I75" s="8"/>
      <c r="J75" s="75">
        <v>27000.0</v>
      </c>
    </row>
    <row r="76" ht="16.5" customHeight="1">
      <c r="B76" s="8"/>
      <c r="C76" s="8" t="s">
        <v>140</v>
      </c>
      <c r="D76" s="8"/>
      <c r="E76" s="8"/>
      <c r="F76" s="8"/>
      <c r="G76" s="8"/>
      <c r="H76" s="8"/>
      <c r="I76" s="8"/>
      <c r="J76" s="75">
        <v>110000.0</v>
      </c>
    </row>
    <row r="77" ht="16.5" customHeight="1">
      <c r="B77" s="8"/>
      <c r="C77" s="8" t="s">
        <v>142</v>
      </c>
      <c r="D77" s="8"/>
      <c r="E77" s="8"/>
      <c r="F77" s="8"/>
      <c r="G77" s="8"/>
      <c r="H77" s="8"/>
      <c r="I77" s="8"/>
      <c r="J77" s="75">
        <v>30000.0</v>
      </c>
    </row>
    <row r="78" ht="16.5" customHeight="1">
      <c r="B78" s="8"/>
      <c r="C78" s="8" t="s">
        <v>143</v>
      </c>
      <c r="D78" s="8"/>
      <c r="E78" s="8"/>
      <c r="F78" s="8"/>
      <c r="G78" s="8"/>
      <c r="H78" s="8"/>
      <c r="I78" s="8"/>
      <c r="J78" s="75">
        <v>27000.0</v>
      </c>
    </row>
    <row r="79" ht="16.5" customHeight="1">
      <c r="B79" s="8"/>
      <c r="C79" s="8" t="s">
        <v>144</v>
      </c>
      <c r="D79" s="8"/>
      <c r="E79" s="8"/>
      <c r="F79" s="8"/>
      <c r="G79" s="8"/>
      <c r="H79" s="8"/>
      <c r="I79" s="8"/>
      <c r="J79" s="75">
        <v>33000.0</v>
      </c>
    </row>
    <row r="80" ht="16.5" customHeight="1">
      <c r="B80" s="8"/>
      <c r="C80" s="8" t="s">
        <v>145</v>
      </c>
      <c r="D80" s="8"/>
      <c r="E80" s="8"/>
      <c r="F80" s="8"/>
      <c r="G80" s="8"/>
      <c r="H80" s="8"/>
      <c r="I80" s="8"/>
      <c r="J80" s="75">
        <v>35000.0</v>
      </c>
    </row>
    <row r="81" ht="16.5" customHeight="1">
      <c r="B81" s="8"/>
      <c r="C81" s="8" t="s">
        <v>146</v>
      </c>
      <c r="D81" s="8"/>
      <c r="E81" s="8"/>
      <c r="F81" s="8"/>
      <c r="G81" s="8"/>
      <c r="H81" s="8"/>
      <c r="I81" s="8"/>
      <c r="J81" s="75">
        <v>33000.0</v>
      </c>
    </row>
    <row r="82" ht="16.5" customHeight="1">
      <c r="B82" s="8"/>
      <c r="C82" s="8" t="s">
        <v>147</v>
      </c>
      <c r="D82" s="8"/>
      <c r="E82" s="8"/>
      <c r="F82" s="8"/>
      <c r="G82" s="8"/>
      <c r="H82" s="8"/>
      <c r="I82" s="8"/>
      <c r="J82" s="75">
        <v>33000.0</v>
      </c>
    </row>
    <row r="83" ht="16.5" customHeight="1">
      <c r="B83" s="8"/>
      <c r="C83" s="8" t="s">
        <v>148</v>
      </c>
      <c r="D83" s="8"/>
      <c r="E83" s="8"/>
      <c r="F83" s="8"/>
      <c r="G83" s="8"/>
      <c r="H83" s="8"/>
      <c r="I83" s="8"/>
      <c r="J83" s="75">
        <v>35000.0</v>
      </c>
    </row>
    <row r="84" ht="16.5" customHeight="1">
      <c r="B84" s="8"/>
      <c r="C84" s="8" t="s">
        <v>149</v>
      </c>
      <c r="D84" s="8"/>
      <c r="E84" s="8"/>
      <c r="F84" s="8"/>
      <c r="G84" s="8"/>
      <c r="H84" s="8"/>
      <c r="I84" s="8"/>
      <c r="J84" s="75">
        <v>33000.0</v>
      </c>
    </row>
    <row r="85" ht="16.5" customHeight="1">
      <c r="B85" s="8"/>
      <c r="C85" s="8" t="s">
        <v>150</v>
      </c>
      <c r="D85" s="8"/>
      <c r="E85" s="8"/>
      <c r="F85" s="8"/>
      <c r="G85" s="8"/>
      <c r="H85" s="8"/>
      <c r="I85" s="8"/>
      <c r="J85" s="75">
        <v>33000.0</v>
      </c>
    </row>
    <row r="86" ht="16.5" customHeight="1">
      <c r="B86" s="8"/>
      <c r="C86" s="8" t="s">
        <v>151</v>
      </c>
      <c r="D86" s="8"/>
      <c r="E86" s="8"/>
      <c r="F86" s="8"/>
      <c r="G86" s="8"/>
      <c r="H86" s="8"/>
      <c r="I86" s="8"/>
      <c r="J86" s="75">
        <v>32000.0</v>
      </c>
    </row>
    <row r="87" ht="16.5" customHeight="1">
      <c r="B87" s="8"/>
      <c r="C87" s="8" t="s">
        <v>153</v>
      </c>
      <c r="D87" s="8"/>
      <c r="E87" s="8"/>
      <c r="F87" s="8"/>
      <c r="G87" s="8"/>
      <c r="H87" s="8"/>
      <c r="I87" s="8"/>
      <c r="J87" s="75">
        <v>33000.0</v>
      </c>
    </row>
    <row r="88" ht="16.5" customHeight="1">
      <c r="B88" s="8"/>
      <c r="C88" s="8" t="s">
        <v>154</v>
      </c>
      <c r="D88" s="8"/>
      <c r="E88" s="8"/>
      <c r="F88" s="8"/>
      <c r="G88" s="8"/>
      <c r="H88" s="8"/>
      <c r="I88" s="8"/>
      <c r="J88" s="75">
        <v>40000.0</v>
      </c>
    </row>
    <row r="89" ht="16.5" customHeight="1">
      <c r="B89" s="8"/>
      <c r="C89" s="8" t="s">
        <v>155</v>
      </c>
      <c r="D89" s="8"/>
      <c r="E89" s="8"/>
      <c r="F89" s="8"/>
      <c r="G89" s="8"/>
      <c r="H89" s="8"/>
      <c r="I89" s="8"/>
      <c r="J89" s="75">
        <v>35000.0</v>
      </c>
    </row>
    <row r="90" ht="16.5" customHeight="1">
      <c r="B90" s="8"/>
      <c r="C90" s="8" t="s">
        <v>156</v>
      </c>
      <c r="D90" s="8"/>
      <c r="E90" s="8"/>
      <c r="F90" s="8"/>
      <c r="G90" s="8"/>
      <c r="H90" s="8"/>
      <c r="I90" s="8"/>
      <c r="J90" s="74"/>
    </row>
    <row r="91" ht="16.5" customHeight="1">
      <c r="B91" s="8"/>
      <c r="C91" s="8" t="s">
        <v>157</v>
      </c>
      <c r="D91" s="8"/>
      <c r="E91" s="8"/>
      <c r="F91" s="8"/>
      <c r="G91" s="8"/>
      <c r="H91" s="8"/>
      <c r="I91" s="8"/>
      <c r="J91" s="74"/>
    </row>
    <row r="92" ht="16.5" customHeight="1">
      <c r="B92" s="8"/>
      <c r="C92" s="8" t="s">
        <v>158</v>
      </c>
      <c r="D92" s="8"/>
      <c r="E92" s="8"/>
      <c r="F92" s="8"/>
      <c r="G92" s="8"/>
      <c r="H92" s="8"/>
      <c r="I92" s="8"/>
      <c r="J92" s="74"/>
    </row>
    <row r="93" ht="16.5" customHeight="1">
      <c r="B93" s="8"/>
      <c r="C93" s="8" t="s">
        <v>159</v>
      </c>
      <c r="D93" s="8"/>
      <c r="E93" s="8"/>
      <c r="F93" s="8"/>
      <c r="G93" s="8"/>
      <c r="H93" s="8"/>
      <c r="I93" s="8"/>
      <c r="J93" s="75">
        <v>35000.0</v>
      </c>
    </row>
    <row r="94" ht="16.5" customHeight="1">
      <c r="B94" s="8"/>
      <c r="C94" s="8" t="s">
        <v>160</v>
      </c>
      <c r="D94" s="8"/>
      <c r="E94" s="8"/>
      <c r="F94" s="8"/>
      <c r="G94" s="8"/>
      <c r="H94" s="8"/>
      <c r="I94" s="8"/>
      <c r="J94" s="75">
        <v>30000.0</v>
      </c>
    </row>
    <row r="95" ht="16.5" customHeight="1">
      <c r="B95" s="8"/>
      <c r="C95" s="8" t="s">
        <v>161</v>
      </c>
      <c r="D95" s="8"/>
      <c r="E95" s="8"/>
      <c r="F95" s="8"/>
      <c r="G95" s="8"/>
      <c r="H95" s="8"/>
      <c r="I95" s="8"/>
      <c r="J95" s="75">
        <v>65000.0</v>
      </c>
    </row>
    <row r="96" ht="16.5" customHeight="1">
      <c r="B96" s="8"/>
      <c r="C96" s="8" t="s">
        <v>163</v>
      </c>
      <c r="D96" s="8"/>
      <c r="E96" s="8"/>
      <c r="F96" s="8"/>
      <c r="G96" s="8"/>
      <c r="H96" s="8"/>
      <c r="I96" s="8"/>
      <c r="J96" s="75">
        <v>33000.0</v>
      </c>
    </row>
    <row r="97" ht="16.5" customHeight="1">
      <c r="B97" s="8"/>
      <c r="C97" s="8" t="s">
        <v>164</v>
      </c>
      <c r="D97" s="8"/>
      <c r="E97" s="8"/>
      <c r="F97" s="8"/>
      <c r="G97" s="8"/>
      <c r="H97" s="8"/>
      <c r="I97" s="8"/>
      <c r="J97" s="75">
        <v>40000.0</v>
      </c>
    </row>
    <row r="98" ht="16.5" customHeight="1">
      <c r="B98" s="8"/>
      <c r="C98" s="8" t="s">
        <v>165</v>
      </c>
      <c r="D98" s="8"/>
      <c r="E98" s="8"/>
      <c r="F98" s="8"/>
      <c r="G98" s="8"/>
      <c r="H98" s="8"/>
      <c r="I98" s="8"/>
      <c r="J98" s="74"/>
    </row>
    <row r="99" ht="16.5" customHeight="1">
      <c r="B99" s="8"/>
      <c r="C99" s="8" t="s">
        <v>166</v>
      </c>
      <c r="D99" s="8"/>
      <c r="E99" s="8"/>
      <c r="F99" s="8"/>
      <c r="G99" s="8"/>
      <c r="H99" s="8"/>
      <c r="I99" s="8"/>
      <c r="J99" s="74"/>
    </row>
    <row r="100" ht="16.5" customHeight="1">
      <c r="B100" s="8"/>
      <c r="C100" s="8" t="s">
        <v>167</v>
      </c>
      <c r="D100" s="8"/>
      <c r="E100" s="8"/>
      <c r="F100" s="8"/>
      <c r="G100" s="8"/>
      <c r="H100" s="8"/>
      <c r="I100" s="8"/>
      <c r="J100" s="74"/>
    </row>
    <row r="101" ht="16.5" customHeight="1">
      <c r="B101" s="8"/>
      <c r="C101" s="8" t="s">
        <v>168</v>
      </c>
      <c r="D101" s="8"/>
      <c r="E101" s="8"/>
      <c r="F101" s="8"/>
      <c r="G101" s="8"/>
      <c r="H101" s="8"/>
      <c r="I101" s="8"/>
      <c r="J101" s="74"/>
    </row>
    <row r="102" ht="16.5" customHeight="1">
      <c r="B102" s="8"/>
      <c r="C102" s="8" t="s">
        <v>169</v>
      </c>
      <c r="D102" s="8"/>
      <c r="E102" s="8"/>
      <c r="F102" s="8"/>
      <c r="G102" s="8"/>
      <c r="H102" s="8"/>
      <c r="I102" s="8"/>
      <c r="J102" s="74"/>
    </row>
    <row r="103" ht="16.5" customHeight="1">
      <c r="B103" s="8"/>
      <c r="C103" s="8" t="s">
        <v>170</v>
      </c>
      <c r="D103" s="8"/>
      <c r="E103" s="8"/>
      <c r="F103" s="8"/>
      <c r="G103" s="8"/>
      <c r="H103" s="8"/>
      <c r="I103" s="8"/>
      <c r="J103" s="74"/>
    </row>
    <row r="104" ht="16.5" customHeight="1">
      <c r="B104" s="8"/>
      <c r="C104" s="8" t="s">
        <v>171</v>
      </c>
      <c r="D104" s="8"/>
      <c r="E104" s="8"/>
      <c r="F104" s="8"/>
      <c r="G104" s="8"/>
      <c r="H104" s="8"/>
      <c r="I104" s="8"/>
      <c r="J104" s="74"/>
    </row>
    <row r="105" ht="16.5" customHeight="1">
      <c r="B105" s="8"/>
      <c r="C105" s="8" t="s">
        <v>173</v>
      </c>
      <c r="D105" s="8"/>
      <c r="E105" s="8"/>
      <c r="F105" s="8"/>
      <c r="G105" s="8"/>
      <c r="H105" s="8"/>
      <c r="I105" s="8"/>
      <c r="J105" s="74"/>
    </row>
    <row r="106" ht="16.5" customHeight="1">
      <c r="B106" s="8"/>
      <c r="C106" s="8" t="s">
        <v>174</v>
      </c>
      <c r="D106" s="8"/>
      <c r="E106" s="8"/>
      <c r="F106" s="8"/>
      <c r="G106" s="8"/>
      <c r="H106" s="8"/>
      <c r="I106" s="8"/>
      <c r="J106" s="74"/>
    </row>
    <row r="107" ht="16.5" customHeight="1">
      <c r="B107" s="8"/>
      <c r="C107" s="8" t="s">
        <v>175</v>
      </c>
      <c r="D107" s="8"/>
      <c r="E107" s="8"/>
      <c r="F107" s="8"/>
      <c r="G107" s="8"/>
      <c r="H107" s="8"/>
      <c r="I107" s="8"/>
      <c r="J107" s="74"/>
    </row>
    <row r="108" ht="16.5" customHeight="1">
      <c r="B108" s="8"/>
      <c r="C108" s="8" t="s">
        <v>176</v>
      </c>
      <c r="D108" s="8"/>
      <c r="E108" s="8"/>
      <c r="F108" s="8"/>
      <c r="G108" s="8"/>
      <c r="H108" s="8"/>
      <c r="I108" s="8"/>
      <c r="J108" s="74"/>
    </row>
    <row r="109" ht="16.5" customHeight="1">
      <c r="B109" s="8"/>
      <c r="C109" s="8" t="s">
        <v>177</v>
      </c>
      <c r="D109" s="8"/>
      <c r="E109" s="8"/>
      <c r="F109" s="8"/>
      <c r="G109" s="8"/>
      <c r="H109" s="8"/>
      <c r="I109" s="8"/>
      <c r="J109" s="74"/>
    </row>
    <row r="110" ht="16.5" customHeight="1">
      <c r="B110" s="8"/>
      <c r="C110" s="8" t="s">
        <v>178</v>
      </c>
      <c r="D110" s="8"/>
      <c r="E110" s="8"/>
      <c r="F110" s="8"/>
      <c r="G110" s="8"/>
      <c r="H110" s="8"/>
      <c r="I110" s="8"/>
      <c r="J110" s="74"/>
    </row>
    <row r="111" ht="16.5" customHeight="1">
      <c r="B111" s="8"/>
      <c r="C111" s="8" t="s">
        <v>179</v>
      </c>
      <c r="D111" s="8"/>
      <c r="E111" s="8"/>
      <c r="F111" s="8"/>
      <c r="G111" s="8"/>
      <c r="H111" s="8"/>
      <c r="I111" s="8"/>
      <c r="J111" s="74"/>
    </row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0">
    <mergeCell ref="A1:J1"/>
    <mergeCell ref="A2:J2"/>
    <mergeCell ref="A3:J3"/>
    <mergeCell ref="A4:J5"/>
    <mergeCell ref="A8:D8"/>
    <mergeCell ref="A9:B9"/>
    <mergeCell ref="A10:J10"/>
    <mergeCell ref="B20:E20"/>
    <mergeCell ref="F20:G20"/>
    <mergeCell ref="F21:G21"/>
    <mergeCell ref="B22:E22"/>
    <mergeCell ref="F22:G22"/>
    <mergeCell ref="F23:G23"/>
    <mergeCell ref="F24:G24"/>
    <mergeCell ref="F32:G32"/>
    <mergeCell ref="B33:E33"/>
    <mergeCell ref="F33:G33"/>
    <mergeCell ref="B35:E35"/>
    <mergeCell ref="F35:G35"/>
    <mergeCell ref="C63:I63"/>
    <mergeCell ref="C64:I64"/>
    <mergeCell ref="C70:F70"/>
    <mergeCell ref="F25:G25"/>
    <mergeCell ref="F26:G26"/>
    <mergeCell ref="F27:G27"/>
    <mergeCell ref="F28:G28"/>
    <mergeCell ref="F29:G29"/>
    <mergeCell ref="F30:G30"/>
    <mergeCell ref="F31:G31"/>
    <mergeCell ref="F34:G34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/>
  </sheetViews>
  <sheetFormatPr customHeight="1" defaultColWidth="14.43" defaultRowHeight="15.0"/>
  <cols>
    <col customWidth="1" min="1" max="2" width="4.0"/>
    <col customWidth="1" min="3" max="3" width="5.43"/>
    <col customWidth="1" min="4" max="4" width="14.57"/>
    <col customWidth="1" min="5" max="5" width="1.29"/>
    <col customWidth="1" min="6" max="6" width="26.71"/>
    <col customWidth="1" min="7" max="7" width="24.57"/>
    <col customWidth="1" min="8" max="8" width="8.71"/>
    <col customWidth="1" min="9" max="9" width="1.29"/>
    <col customWidth="1" min="10" max="10" width="12.43"/>
    <col customWidth="1" min="11" max="11" width="19.14"/>
    <col customWidth="1" min="12" max="12" width="8.71"/>
    <col customWidth="1" min="13" max="13" width="4.57"/>
    <col customWidth="1" min="14" max="14" width="12.29"/>
    <col customWidth="1" min="15" max="28" width="8.71"/>
  </cols>
  <sheetData>
    <row r="1" ht="17.25" customHeight="1">
      <c r="A1" s="1"/>
      <c r="B1" s="79"/>
      <c r="C1" s="1"/>
      <c r="D1" s="1"/>
      <c r="E1" s="1"/>
      <c r="F1" s="1"/>
      <c r="G1" s="1"/>
      <c r="H1" s="1"/>
      <c r="I1" s="1"/>
      <c r="J1" s="1"/>
      <c r="K1" s="1"/>
      <c r="L1" s="1"/>
    </row>
    <row r="2" ht="59.25" customHeight="1">
      <c r="A2" s="1"/>
      <c r="B2" s="1"/>
      <c r="C2" s="1" t="s">
        <v>0</v>
      </c>
    </row>
    <row r="3" ht="37.5" customHeight="1">
      <c r="A3" s="2"/>
      <c r="B3" s="2"/>
      <c r="C3" s="2" t="s">
        <v>1</v>
      </c>
    </row>
    <row r="4" ht="16.5" customHeight="1">
      <c r="A4" s="3"/>
      <c r="B4" s="3"/>
      <c r="C4" s="3" t="s">
        <v>2</v>
      </c>
    </row>
    <row r="5" ht="26.25" customHeight="1">
      <c r="A5" s="4"/>
      <c r="B5" s="4"/>
      <c r="C5" s="4" t="s">
        <v>3</v>
      </c>
      <c r="P5" s="5" t="s">
        <v>4</v>
      </c>
    </row>
    <row r="6" ht="17.25" customHeight="1">
      <c r="A6" s="4"/>
      <c r="B6" s="4"/>
      <c r="P6" s="6"/>
    </row>
    <row r="7" ht="16.5" customHeight="1">
      <c r="A7" s="7"/>
      <c r="B7" s="7"/>
      <c r="C7" s="7" t="s">
        <v>5</v>
      </c>
      <c r="E7" s="8"/>
      <c r="F7" s="8"/>
      <c r="G7" s="8"/>
      <c r="H7" s="8"/>
      <c r="I7" s="9"/>
      <c r="J7" s="9"/>
      <c r="K7" s="9"/>
      <c r="L7" s="9"/>
      <c r="N7" s="5"/>
    </row>
    <row r="8" ht="16.5" customHeight="1">
      <c r="A8" s="9"/>
      <c r="B8" s="9"/>
      <c r="C8" s="9" t="s">
        <v>6</v>
      </c>
      <c r="D8" s="9"/>
      <c r="E8" s="9"/>
      <c r="F8" s="10"/>
      <c r="G8" s="9"/>
      <c r="H8" s="9"/>
      <c r="I8" s="9"/>
      <c r="J8" s="78" t="s">
        <v>262</v>
      </c>
      <c r="K8" s="9"/>
      <c r="L8" s="9"/>
      <c r="N8" s="5"/>
    </row>
    <row r="9" ht="16.5" customHeight="1">
      <c r="A9" s="12"/>
      <c r="B9" s="12"/>
      <c r="C9" s="12" t="s">
        <v>10</v>
      </c>
      <c r="G9" s="9"/>
      <c r="H9" s="9"/>
      <c r="I9" s="9"/>
      <c r="J9" s="9"/>
      <c r="K9" s="9"/>
      <c r="L9" s="9"/>
      <c r="N9" s="5"/>
    </row>
    <row r="10" ht="16.5" customHeight="1">
      <c r="A10" s="13"/>
      <c r="B10" s="13"/>
      <c r="C10" s="14" t="s">
        <v>12</v>
      </c>
      <c r="E10" s="9"/>
      <c r="F10" s="9"/>
      <c r="G10" s="9"/>
      <c r="H10" s="9"/>
      <c r="I10" s="9"/>
      <c r="J10" s="15"/>
      <c r="K10" s="9"/>
      <c r="L10" s="9"/>
      <c r="P10" s="16"/>
    </row>
    <row r="11" ht="34.5" customHeight="1">
      <c r="A11" s="17"/>
      <c r="B11" s="17"/>
      <c r="C11" s="17" t="s">
        <v>13</v>
      </c>
      <c r="M11" s="18"/>
      <c r="N11" s="19"/>
      <c r="O11" s="18"/>
      <c r="P11" s="16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</row>
    <row r="12" ht="16.5" customHeight="1">
      <c r="A12" s="20"/>
      <c r="B12" s="20"/>
      <c r="C12" s="20"/>
      <c r="P12" s="21"/>
      <c r="Q12" s="5" t="s">
        <v>242</v>
      </c>
    </row>
    <row r="13" ht="16.5" customHeight="1">
      <c r="A13" s="22"/>
      <c r="B13" s="22"/>
      <c r="C13" s="22"/>
      <c r="D13" s="12" t="s">
        <v>14</v>
      </c>
      <c r="E13" s="5" t="s">
        <v>15</v>
      </c>
      <c r="F13" s="12" t="s">
        <v>263</v>
      </c>
      <c r="M13" s="23"/>
      <c r="N13" s="24"/>
      <c r="P13" s="21"/>
      <c r="Q13" s="5" t="s">
        <v>244</v>
      </c>
    </row>
    <row r="14" ht="16.5" customHeight="1">
      <c r="A14" s="22"/>
      <c r="B14" s="22"/>
      <c r="C14" s="22"/>
      <c r="D14" s="12" t="s">
        <v>23</v>
      </c>
      <c r="E14" s="5" t="s">
        <v>15</v>
      </c>
      <c r="F14" s="9" t="s">
        <v>24</v>
      </c>
      <c r="P14" s="21"/>
      <c r="Q14" s="9" t="s">
        <v>245</v>
      </c>
    </row>
    <row r="15" ht="16.5" customHeight="1">
      <c r="A15" s="22"/>
      <c r="B15" s="22"/>
      <c r="C15" s="22"/>
      <c r="D15" s="12" t="s">
        <v>28</v>
      </c>
      <c r="E15" s="5" t="s">
        <v>15</v>
      </c>
      <c r="F15" s="9" t="s">
        <v>29</v>
      </c>
      <c r="P15" s="21"/>
      <c r="Q15" s="9" t="s">
        <v>246</v>
      </c>
    </row>
    <row r="16" ht="16.5" customHeight="1">
      <c r="A16" s="22"/>
      <c r="B16" s="22"/>
      <c r="C16" s="22"/>
      <c r="D16" s="12" t="s">
        <v>33</v>
      </c>
      <c r="E16" s="5" t="s">
        <v>15</v>
      </c>
      <c r="F16" s="9" t="s">
        <v>34</v>
      </c>
      <c r="J16" s="5" t="s">
        <v>35</v>
      </c>
      <c r="P16" s="21"/>
      <c r="Q16" s="9" t="s">
        <v>247</v>
      </c>
    </row>
    <row r="17" ht="16.5" customHeight="1">
      <c r="A17" s="22"/>
      <c r="B17" s="22"/>
      <c r="C17" s="22"/>
      <c r="D17" s="12" t="s">
        <v>38</v>
      </c>
      <c r="E17" s="5" t="s">
        <v>15</v>
      </c>
      <c r="F17" s="9" t="s">
        <v>39</v>
      </c>
      <c r="G17" s="5" t="s">
        <v>40</v>
      </c>
      <c r="P17" s="21"/>
      <c r="Q17" s="9" t="s">
        <v>248</v>
      </c>
    </row>
    <row r="18" ht="16.5" customHeight="1">
      <c r="A18" s="22"/>
      <c r="B18" s="22"/>
      <c r="C18" s="22"/>
      <c r="D18" s="12" t="s">
        <v>44</v>
      </c>
      <c r="E18" s="5" t="s">
        <v>15</v>
      </c>
      <c r="F18" s="9" t="s">
        <v>45</v>
      </c>
      <c r="P18" s="21"/>
      <c r="Q18" s="9" t="s">
        <v>249</v>
      </c>
    </row>
    <row r="19" ht="16.5" customHeight="1">
      <c r="A19" s="22"/>
      <c r="B19" s="22"/>
      <c r="C19" s="22"/>
      <c r="D19" s="12"/>
      <c r="E19" s="5"/>
      <c r="F19" s="9"/>
      <c r="P19" s="21"/>
      <c r="Q19" s="5" t="s">
        <v>250</v>
      </c>
    </row>
    <row r="20" ht="16.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P20" s="21"/>
      <c r="Q20" s="5" t="s">
        <v>251</v>
      </c>
    </row>
    <row r="21" ht="16.5" customHeight="1">
      <c r="A21" s="3"/>
      <c r="B21" s="3"/>
      <c r="C21" s="32" t="s">
        <v>55</v>
      </c>
      <c r="D21" s="33" t="s">
        <v>56</v>
      </c>
      <c r="E21" s="34"/>
      <c r="F21" s="34"/>
      <c r="G21" s="35"/>
      <c r="H21" s="33" t="s">
        <v>57</v>
      </c>
      <c r="I21" s="35"/>
      <c r="J21" s="36" t="s">
        <v>58</v>
      </c>
      <c r="K21" s="37" t="s">
        <v>60</v>
      </c>
      <c r="P21" s="21"/>
      <c r="Q21" s="5" t="s">
        <v>252</v>
      </c>
    </row>
    <row r="22" ht="16.5" customHeight="1">
      <c r="A22" s="38"/>
      <c r="B22" s="38"/>
      <c r="C22" s="39">
        <v>1.0</v>
      </c>
      <c r="D22" s="5" t="s">
        <v>193</v>
      </c>
      <c r="E22" s="69"/>
      <c r="F22" s="69"/>
      <c r="G22" s="80"/>
      <c r="H22" s="42">
        <v>11.0</v>
      </c>
      <c r="I22" s="30"/>
      <c r="J22" s="43">
        <v>50.0</v>
      </c>
      <c r="K22" s="47">
        <f t="shared" ref="K22:K32" si="1">H22*J22</f>
        <v>550</v>
      </c>
      <c r="Q22" s="5" t="s">
        <v>253</v>
      </c>
    </row>
    <row r="23" ht="16.5" customHeight="1">
      <c r="A23" s="38"/>
      <c r="B23" s="38"/>
      <c r="C23" s="39">
        <v>2.0</v>
      </c>
      <c r="D23" s="5" t="s">
        <v>264</v>
      </c>
      <c r="H23" s="42">
        <v>2.0</v>
      </c>
      <c r="I23" s="30"/>
      <c r="J23" s="49">
        <v>30.0</v>
      </c>
      <c r="K23" s="47">
        <f t="shared" si="1"/>
        <v>60</v>
      </c>
    </row>
    <row r="24" ht="16.5" customHeight="1">
      <c r="A24" s="38"/>
      <c r="B24" s="38"/>
      <c r="C24" s="39">
        <v>3.0</v>
      </c>
      <c r="D24" s="31" t="s">
        <v>265</v>
      </c>
      <c r="E24" s="31"/>
      <c r="F24" s="31"/>
      <c r="G24" s="31"/>
      <c r="H24" s="42">
        <v>4.0</v>
      </c>
      <c r="I24" s="30"/>
      <c r="J24" s="49">
        <v>43.0</v>
      </c>
      <c r="K24" s="47">
        <f t="shared" si="1"/>
        <v>172</v>
      </c>
    </row>
    <row r="25" ht="16.5" customHeight="1">
      <c r="A25" s="38"/>
      <c r="B25" s="38"/>
      <c r="C25" s="39">
        <v>4.0</v>
      </c>
      <c r="D25" s="31" t="s">
        <v>194</v>
      </c>
      <c r="E25" s="31"/>
      <c r="F25" s="31"/>
      <c r="G25" s="31"/>
      <c r="H25" s="42">
        <v>2.0</v>
      </c>
      <c r="I25" s="30"/>
      <c r="J25" s="50">
        <v>25.0</v>
      </c>
      <c r="K25" s="47">
        <f t="shared" si="1"/>
        <v>50</v>
      </c>
    </row>
    <row r="26" ht="16.5" customHeight="1">
      <c r="A26" s="38"/>
      <c r="B26" s="38"/>
      <c r="C26" s="39">
        <v>5.0</v>
      </c>
      <c r="D26" s="31" t="s">
        <v>84</v>
      </c>
      <c r="E26" s="31"/>
      <c r="F26" s="31"/>
      <c r="G26" s="31"/>
      <c r="H26" s="42">
        <v>15.0</v>
      </c>
      <c r="I26" s="30"/>
      <c r="J26" s="50">
        <v>26.0</v>
      </c>
      <c r="K26" s="47">
        <f t="shared" si="1"/>
        <v>390</v>
      </c>
    </row>
    <row r="27" ht="16.5" customHeight="1">
      <c r="A27" s="38"/>
      <c r="B27" s="38"/>
      <c r="C27" s="39">
        <v>6.0</v>
      </c>
      <c r="D27" s="31" t="s">
        <v>74</v>
      </c>
      <c r="E27" s="31"/>
      <c r="F27" s="31"/>
      <c r="G27" s="31"/>
      <c r="H27" s="42">
        <v>15.0</v>
      </c>
      <c r="I27" s="30"/>
      <c r="J27" s="50">
        <v>28.0</v>
      </c>
      <c r="K27" s="47">
        <f t="shared" si="1"/>
        <v>420</v>
      </c>
    </row>
    <row r="28" ht="16.5" customHeight="1">
      <c r="A28" s="38"/>
      <c r="B28" s="38"/>
      <c r="C28" s="39">
        <v>7.0</v>
      </c>
      <c r="D28" s="31" t="s">
        <v>78</v>
      </c>
      <c r="E28" s="31"/>
      <c r="F28" s="31"/>
      <c r="G28" s="31"/>
      <c r="H28" s="42">
        <v>11.0</v>
      </c>
      <c r="I28" s="30"/>
      <c r="J28" s="50">
        <v>29.0</v>
      </c>
      <c r="K28" s="47">
        <f t="shared" si="1"/>
        <v>319</v>
      </c>
    </row>
    <row r="29" ht="16.5" customHeight="1">
      <c r="A29" s="38"/>
      <c r="B29" s="38"/>
      <c r="C29" s="39">
        <v>8.0</v>
      </c>
      <c r="D29" s="31" t="s">
        <v>234</v>
      </c>
      <c r="E29" s="31"/>
      <c r="F29" s="31"/>
      <c r="G29" s="31"/>
      <c r="H29" s="42">
        <v>10.0</v>
      </c>
      <c r="I29" s="30"/>
      <c r="J29" s="50">
        <v>28.0</v>
      </c>
      <c r="K29" s="47">
        <f t="shared" si="1"/>
        <v>280</v>
      </c>
    </row>
    <row r="30" ht="16.5" customHeight="1">
      <c r="A30" s="38"/>
      <c r="B30" s="38"/>
      <c r="C30" s="39">
        <v>9.0</v>
      </c>
      <c r="D30" s="31" t="s">
        <v>199</v>
      </c>
      <c r="E30" s="31"/>
      <c r="F30" s="31"/>
      <c r="G30" s="31"/>
      <c r="H30" s="42">
        <v>4.0</v>
      </c>
      <c r="I30" s="30"/>
      <c r="J30" s="50">
        <v>45.0</v>
      </c>
      <c r="K30" s="47">
        <f t="shared" si="1"/>
        <v>180</v>
      </c>
    </row>
    <row r="31" ht="16.5" customHeight="1">
      <c r="A31" s="38"/>
      <c r="B31" s="38"/>
      <c r="C31" s="39">
        <v>10.0</v>
      </c>
      <c r="D31" s="80" t="s">
        <v>266</v>
      </c>
      <c r="E31" s="31"/>
      <c r="F31" s="31"/>
      <c r="G31" s="31"/>
      <c r="H31" s="42">
        <v>16.0</v>
      </c>
      <c r="I31" s="30"/>
      <c r="J31" s="50">
        <v>29.0</v>
      </c>
      <c r="K31" s="47">
        <f t="shared" si="1"/>
        <v>464</v>
      </c>
    </row>
    <row r="32" ht="16.5" customHeight="1">
      <c r="A32" s="38"/>
      <c r="B32" s="38"/>
      <c r="C32" s="39">
        <v>1.0</v>
      </c>
      <c r="D32" s="51" t="s">
        <v>90</v>
      </c>
      <c r="E32" s="29"/>
      <c r="F32" s="29"/>
      <c r="G32" s="30"/>
      <c r="H32" s="42">
        <f>SUM(H22:I31)/30</f>
        <v>3</v>
      </c>
      <c r="I32" s="30"/>
      <c r="J32" s="49">
        <v>120.0</v>
      </c>
      <c r="K32" s="47">
        <f t="shared" si="1"/>
        <v>360</v>
      </c>
    </row>
    <row r="33" ht="16.5" customHeight="1">
      <c r="A33" s="10"/>
      <c r="B33" s="10"/>
      <c r="C33" s="52" t="s">
        <v>93</v>
      </c>
      <c r="D33" s="53"/>
      <c r="E33" s="53"/>
      <c r="F33" s="53"/>
      <c r="G33" s="53"/>
      <c r="H33" s="53">
        <f>SUM(H22:I31)</f>
        <v>90</v>
      </c>
      <c r="I33" s="53"/>
      <c r="J33" s="54" t="s">
        <v>98</v>
      </c>
      <c r="K33" s="55">
        <f>SUM(K22:K32)</f>
        <v>3245</v>
      </c>
    </row>
    <row r="34" ht="28.5" customHeight="1">
      <c r="A34" s="56"/>
      <c r="B34" s="56"/>
      <c r="C34" s="56" t="s">
        <v>102</v>
      </c>
      <c r="D34" s="9"/>
      <c r="E34" s="9"/>
      <c r="F34" s="9"/>
      <c r="G34" s="9"/>
      <c r="H34" s="9"/>
      <c r="I34" s="9"/>
      <c r="J34" s="9"/>
    </row>
    <row r="35" ht="16.5" customHeight="1">
      <c r="A35" s="9"/>
      <c r="B35" s="9"/>
      <c r="C35" s="9"/>
      <c r="G35" s="9"/>
    </row>
    <row r="36" ht="16.5" customHeight="1">
      <c r="A36" s="58"/>
      <c r="B36" s="58"/>
      <c r="C36" s="58" t="s">
        <v>104</v>
      </c>
      <c r="D36" s="9"/>
      <c r="E36" s="9"/>
      <c r="G36" s="9"/>
    </row>
    <row r="37" ht="7.5" customHeight="1">
      <c r="N37" s="10"/>
      <c r="O37" s="10"/>
      <c r="P37" s="9"/>
      <c r="R37" s="9"/>
    </row>
    <row r="38" ht="16.5" customHeight="1">
      <c r="A38" s="10"/>
      <c r="B38" s="10"/>
      <c r="C38" s="61" t="s">
        <v>105</v>
      </c>
      <c r="D38" s="62"/>
      <c r="E38" s="5" t="s">
        <v>15</v>
      </c>
      <c r="F38" s="9" t="s">
        <v>107</v>
      </c>
      <c r="H38" s="62"/>
      <c r="M38" s="63"/>
      <c r="N38" s="10"/>
      <c r="O38" s="10"/>
      <c r="P38" s="9"/>
      <c r="R38" s="9"/>
    </row>
    <row r="39" ht="16.5" customHeight="1">
      <c r="A39" s="10"/>
      <c r="B39" s="10"/>
      <c r="C39" s="61" t="s">
        <v>108</v>
      </c>
      <c r="E39" s="5" t="s">
        <v>15</v>
      </c>
      <c r="F39" s="9" t="s">
        <v>107</v>
      </c>
      <c r="N39" s="10"/>
      <c r="O39" s="10"/>
      <c r="P39" s="9"/>
    </row>
    <row r="40" ht="16.5" customHeight="1">
      <c r="F40" s="9" t="s">
        <v>109</v>
      </c>
      <c r="N40" s="10"/>
      <c r="O40" s="10"/>
      <c r="P40" s="9"/>
    </row>
    <row r="41" ht="16.5" customHeight="1">
      <c r="N41" s="10"/>
      <c r="O41" s="62"/>
      <c r="S41" s="62"/>
    </row>
    <row r="42" ht="16.5" customHeight="1">
      <c r="A42" s="62"/>
      <c r="B42" s="62"/>
      <c r="C42" s="62"/>
      <c r="D42" s="62"/>
    </row>
    <row r="43" ht="16.5" customHeight="1"/>
    <row r="44" ht="16.5" customHeight="1">
      <c r="A44" s="9"/>
      <c r="B44" s="9"/>
      <c r="C44" s="9"/>
      <c r="F44" s="9"/>
      <c r="H44" s="62"/>
    </row>
    <row r="45" ht="16.5" customHeight="1">
      <c r="A45" s="9"/>
      <c r="B45" s="9"/>
      <c r="C45" s="9"/>
      <c r="F45" s="9"/>
      <c r="H45" s="62"/>
    </row>
    <row r="46" ht="16.5" customHeight="1"/>
    <row r="47" ht="16.5" customHeight="1"/>
    <row r="48" ht="16.5" customHeight="1">
      <c r="J48" s="23"/>
      <c r="K48" s="66"/>
      <c r="L48" s="66"/>
    </row>
    <row r="49" ht="16.5" customHeight="1">
      <c r="G49" s="68" t="s">
        <v>117</v>
      </c>
      <c r="H49" s="69"/>
      <c r="I49" s="69"/>
      <c r="J49" s="69"/>
      <c r="K49" s="69"/>
    </row>
    <row r="50" ht="16.5" customHeight="1"/>
    <row r="51" ht="16.5" customHeight="1">
      <c r="A51" s="70"/>
      <c r="B51" s="70"/>
      <c r="C51" s="70"/>
    </row>
    <row r="52" ht="60.0" customHeight="1">
      <c r="A52" s="70"/>
      <c r="B52" s="70"/>
      <c r="C52" s="70"/>
    </row>
    <row r="53" ht="16.5" customHeight="1">
      <c r="A53" s="26"/>
      <c r="B53" s="26"/>
      <c r="C53" s="26"/>
    </row>
    <row r="54" ht="16.5" customHeight="1">
      <c r="A54" s="71"/>
      <c r="B54" s="71"/>
      <c r="C54" s="71"/>
    </row>
    <row r="55" ht="16.5" customHeight="1"/>
    <row r="56" ht="16.5" customHeight="1"/>
    <row r="57" ht="16.5" customHeight="1"/>
    <row r="58" ht="16.5" customHeight="1"/>
    <row r="59" ht="16.5" customHeight="1">
      <c r="D59" s="8"/>
      <c r="E59" s="72" t="s">
        <v>124</v>
      </c>
      <c r="F59" s="73"/>
      <c r="G59" s="73"/>
      <c r="H59" s="73"/>
      <c r="I59" s="8"/>
      <c r="J59" s="8"/>
      <c r="K59" s="8"/>
      <c r="L59" s="74"/>
    </row>
    <row r="60" ht="16.5" customHeight="1">
      <c r="D60" s="8"/>
      <c r="E60" s="8" t="s">
        <v>126</v>
      </c>
      <c r="L60" s="75">
        <v>35000.0</v>
      </c>
    </row>
    <row r="61" ht="16.5" customHeight="1">
      <c r="D61" s="8"/>
      <c r="E61" s="8" t="s">
        <v>127</v>
      </c>
      <c r="L61" s="75">
        <v>40000.0</v>
      </c>
    </row>
    <row r="62" ht="16.5" customHeight="1">
      <c r="D62" s="8"/>
      <c r="E62" s="8" t="s">
        <v>128</v>
      </c>
      <c r="F62" s="8"/>
      <c r="G62" s="8"/>
      <c r="H62" s="8"/>
      <c r="I62" s="8"/>
      <c r="J62" s="8"/>
      <c r="K62" s="8"/>
      <c r="L62" s="75">
        <v>65000.0</v>
      </c>
    </row>
    <row r="63" ht="16.5" customHeight="1">
      <c r="D63" s="8"/>
      <c r="E63" s="8" t="s">
        <v>129</v>
      </c>
      <c r="F63" s="8"/>
      <c r="G63" s="8"/>
      <c r="H63" s="8"/>
      <c r="I63" s="8"/>
      <c r="J63" s="8"/>
      <c r="K63" s="8"/>
      <c r="L63" s="75">
        <v>65000.0</v>
      </c>
    </row>
    <row r="64" ht="16.5" customHeight="1">
      <c r="D64" s="8"/>
      <c r="E64" s="8" t="s">
        <v>130</v>
      </c>
      <c r="F64" s="8"/>
      <c r="G64" s="8"/>
      <c r="H64" s="8"/>
      <c r="I64" s="8"/>
      <c r="J64" s="8"/>
      <c r="K64" s="8"/>
      <c r="L64" s="75">
        <v>35000.0</v>
      </c>
    </row>
    <row r="65" ht="16.5" customHeight="1">
      <c r="D65" s="8"/>
      <c r="E65" s="8" t="s">
        <v>131</v>
      </c>
      <c r="F65" s="8"/>
      <c r="G65" s="8"/>
      <c r="H65" s="8"/>
      <c r="I65" s="8"/>
      <c r="J65" s="8"/>
      <c r="K65" s="8"/>
      <c r="L65" s="75">
        <v>37000.0</v>
      </c>
    </row>
    <row r="66" ht="16.5" customHeight="1">
      <c r="D66" s="8"/>
      <c r="E66" s="8" t="s">
        <v>133</v>
      </c>
      <c r="F66" s="8"/>
      <c r="G66" s="8"/>
      <c r="H66" s="8"/>
      <c r="I66" s="8"/>
      <c r="J66" s="8"/>
      <c r="K66" s="8"/>
      <c r="L66" s="75">
        <v>32000.0</v>
      </c>
    </row>
    <row r="67" ht="16.5" customHeight="1">
      <c r="D67" s="8"/>
      <c r="E67" s="8" t="s">
        <v>134</v>
      </c>
      <c r="I67" s="8"/>
      <c r="J67" s="8"/>
      <c r="K67" s="8"/>
      <c r="L67" s="75">
        <v>55000.0</v>
      </c>
    </row>
    <row r="68" ht="16.5" customHeight="1">
      <c r="D68" s="8"/>
      <c r="E68" s="8" t="s">
        <v>135</v>
      </c>
      <c r="F68" s="8"/>
      <c r="G68" s="8"/>
      <c r="H68" s="8"/>
      <c r="I68" s="8"/>
      <c r="J68" s="8"/>
      <c r="K68" s="8"/>
      <c r="L68" s="75">
        <v>60000.0</v>
      </c>
    </row>
    <row r="69" ht="16.5" customHeight="1">
      <c r="D69" s="8"/>
      <c r="E69" s="8" t="s">
        <v>136</v>
      </c>
      <c r="F69" s="8"/>
      <c r="G69" s="8"/>
      <c r="H69" s="8"/>
      <c r="I69" s="8"/>
      <c r="J69" s="8"/>
      <c r="K69" s="8"/>
      <c r="L69" s="75">
        <v>40000.0</v>
      </c>
    </row>
    <row r="70" ht="16.5" customHeight="1">
      <c r="D70" s="8"/>
      <c r="E70" s="8" t="s">
        <v>137</v>
      </c>
      <c r="F70" s="8"/>
      <c r="G70" s="8"/>
      <c r="H70" s="8"/>
      <c r="I70" s="8"/>
      <c r="J70" s="8"/>
      <c r="K70" s="8"/>
      <c r="L70" s="75">
        <v>27000.0</v>
      </c>
    </row>
    <row r="71" ht="16.5" customHeight="1">
      <c r="D71" s="8"/>
      <c r="E71" s="8" t="s">
        <v>138</v>
      </c>
      <c r="F71" s="8"/>
      <c r="G71" s="8"/>
      <c r="H71" s="8"/>
      <c r="I71" s="8"/>
      <c r="J71" s="8"/>
      <c r="K71" s="8"/>
      <c r="L71" s="75">
        <v>32000.0</v>
      </c>
    </row>
    <row r="72" ht="16.5" customHeight="1">
      <c r="D72" s="8"/>
      <c r="E72" s="8" t="s">
        <v>139</v>
      </c>
      <c r="F72" s="8"/>
      <c r="G72" s="8"/>
      <c r="H72" s="8"/>
      <c r="I72" s="8"/>
      <c r="J72" s="8"/>
      <c r="K72" s="8"/>
      <c r="L72" s="75">
        <v>27000.0</v>
      </c>
    </row>
    <row r="73" ht="16.5" customHeight="1">
      <c r="D73" s="8"/>
      <c r="E73" s="8" t="s">
        <v>140</v>
      </c>
      <c r="F73" s="8"/>
      <c r="G73" s="8"/>
      <c r="H73" s="8"/>
      <c r="I73" s="8"/>
      <c r="J73" s="8"/>
      <c r="K73" s="8"/>
      <c r="L73" s="75">
        <v>110000.0</v>
      </c>
    </row>
    <row r="74" ht="16.5" customHeight="1">
      <c r="D74" s="8"/>
      <c r="E74" s="8" t="s">
        <v>142</v>
      </c>
      <c r="F74" s="8"/>
      <c r="G74" s="8"/>
      <c r="H74" s="8"/>
      <c r="I74" s="8"/>
      <c r="J74" s="8"/>
      <c r="K74" s="8"/>
      <c r="L74" s="75">
        <v>30000.0</v>
      </c>
    </row>
    <row r="75" ht="16.5" customHeight="1">
      <c r="D75" s="8"/>
      <c r="E75" s="8" t="s">
        <v>143</v>
      </c>
      <c r="F75" s="8"/>
      <c r="G75" s="8"/>
      <c r="H75" s="8"/>
      <c r="I75" s="8"/>
      <c r="J75" s="8"/>
      <c r="K75" s="8"/>
      <c r="L75" s="75">
        <v>27000.0</v>
      </c>
    </row>
    <row r="76" ht="16.5" customHeight="1">
      <c r="D76" s="8"/>
      <c r="E76" s="8" t="s">
        <v>144</v>
      </c>
      <c r="F76" s="8"/>
      <c r="G76" s="8"/>
      <c r="H76" s="8"/>
      <c r="I76" s="8"/>
      <c r="J76" s="8"/>
      <c r="K76" s="8"/>
      <c r="L76" s="75">
        <v>33000.0</v>
      </c>
    </row>
    <row r="77" ht="16.5" customHeight="1">
      <c r="D77" s="8"/>
      <c r="E77" s="8" t="s">
        <v>145</v>
      </c>
      <c r="F77" s="8"/>
      <c r="G77" s="8"/>
      <c r="H77" s="8"/>
      <c r="I77" s="8"/>
      <c r="J77" s="8"/>
      <c r="K77" s="8"/>
      <c r="L77" s="75">
        <v>35000.0</v>
      </c>
    </row>
    <row r="78" ht="16.5" customHeight="1">
      <c r="D78" s="8"/>
      <c r="E78" s="8" t="s">
        <v>146</v>
      </c>
      <c r="F78" s="8"/>
      <c r="G78" s="8"/>
      <c r="H78" s="8"/>
      <c r="I78" s="8"/>
      <c r="J78" s="8"/>
      <c r="K78" s="8"/>
      <c r="L78" s="75">
        <v>33000.0</v>
      </c>
    </row>
    <row r="79" ht="16.5" customHeight="1">
      <c r="D79" s="8"/>
      <c r="E79" s="8" t="s">
        <v>147</v>
      </c>
      <c r="F79" s="8"/>
      <c r="G79" s="8"/>
      <c r="H79" s="8"/>
      <c r="I79" s="8"/>
      <c r="J79" s="8"/>
      <c r="K79" s="8"/>
      <c r="L79" s="75">
        <v>33000.0</v>
      </c>
    </row>
    <row r="80" ht="16.5" customHeight="1">
      <c r="D80" s="8"/>
      <c r="E80" s="8" t="s">
        <v>148</v>
      </c>
      <c r="F80" s="8"/>
      <c r="G80" s="8"/>
      <c r="H80" s="8"/>
      <c r="I80" s="8"/>
      <c r="J80" s="8"/>
      <c r="K80" s="8"/>
      <c r="L80" s="75">
        <v>35000.0</v>
      </c>
    </row>
    <row r="81" ht="16.5" customHeight="1">
      <c r="D81" s="8"/>
      <c r="E81" s="8" t="s">
        <v>149</v>
      </c>
      <c r="F81" s="8"/>
      <c r="G81" s="8"/>
      <c r="H81" s="8"/>
      <c r="I81" s="8"/>
      <c r="J81" s="8"/>
      <c r="K81" s="8"/>
      <c r="L81" s="75">
        <v>33000.0</v>
      </c>
    </row>
    <row r="82" ht="16.5" customHeight="1">
      <c r="D82" s="8"/>
      <c r="E82" s="8" t="s">
        <v>150</v>
      </c>
      <c r="F82" s="8"/>
      <c r="G82" s="8"/>
      <c r="H82" s="8"/>
      <c r="I82" s="8"/>
      <c r="J82" s="8"/>
      <c r="K82" s="8"/>
      <c r="L82" s="75">
        <v>33000.0</v>
      </c>
    </row>
    <row r="83" ht="16.5" customHeight="1">
      <c r="D83" s="8"/>
      <c r="E83" s="8" t="s">
        <v>151</v>
      </c>
      <c r="F83" s="8"/>
      <c r="G83" s="8"/>
      <c r="H83" s="8"/>
      <c r="I83" s="8"/>
      <c r="J83" s="8"/>
      <c r="K83" s="8"/>
      <c r="L83" s="75">
        <v>32000.0</v>
      </c>
    </row>
    <row r="84" ht="16.5" customHeight="1">
      <c r="D84" s="8"/>
      <c r="E84" s="8" t="s">
        <v>153</v>
      </c>
      <c r="F84" s="8"/>
      <c r="G84" s="8"/>
      <c r="H84" s="8"/>
      <c r="I84" s="8"/>
      <c r="J84" s="8"/>
      <c r="K84" s="8"/>
      <c r="L84" s="75">
        <v>33000.0</v>
      </c>
    </row>
    <row r="85" ht="16.5" customHeight="1">
      <c r="D85" s="8"/>
      <c r="E85" s="8" t="s">
        <v>154</v>
      </c>
      <c r="F85" s="8"/>
      <c r="G85" s="8"/>
      <c r="H85" s="8"/>
      <c r="I85" s="8"/>
      <c r="J85" s="8"/>
      <c r="K85" s="8"/>
      <c r="L85" s="75">
        <v>40000.0</v>
      </c>
    </row>
    <row r="86" ht="16.5" customHeight="1">
      <c r="D86" s="8"/>
      <c r="E86" s="8" t="s">
        <v>155</v>
      </c>
      <c r="F86" s="8"/>
      <c r="G86" s="8"/>
      <c r="H86" s="8"/>
      <c r="I86" s="8"/>
      <c r="J86" s="8"/>
      <c r="K86" s="8"/>
      <c r="L86" s="75">
        <v>35000.0</v>
      </c>
    </row>
    <row r="87" ht="16.5" customHeight="1">
      <c r="D87" s="8"/>
      <c r="E87" s="8" t="s">
        <v>156</v>
      </c>
      <c r="F87" s="8"/>
      <c r="G87" s="8"/>
      <c r="H87" s="8"/>
      <c r="I87" s="8"/>
      <c r="J87" s="8"/>
      <c r="K87" s="8"/>
      <c r="L87" s="74"/>
    </row>
    <row r="88" ht="16.5" customHeight="1">
      <c r="D88" s="8"/>
      <c r="E88" s="8" t="s">
        <v>157</v>
      </c>
      <c r="F88" s="8"/>
      <c r="G88" s="8"/>
      <c r="H88" s="8"/>
      <c r="I88" s="8"/>
      <c r="J88" s="8"/>
      <c r="K88" s="8"/>
      <c r="L88" s="74"/>
    </row>
    <row r="89" ht="16.5" customHeight="1">
      <c r="D89" s="8"/>
      <c r="E89" s="8" t="s">
        <v>158</v>
      </c>
      <c r="F89" s="8"/>
      <c r="G89" s="8"/>
      <c r="H89" s="8"/>
      <c r="I89" s="8"/>
      <c r="J89" s="8"/>
      <c r="K89" s="8"/>
      <c r="L89" s="74"/>
    </row>
    <row r="90" ht="16.5" customHeight="1">
      <c r="D90" s="8"/>
      <c r="E90" s="8" t="s">
        <v>159</v>
      </c>
      <c r="F90" s="8"/>
      <c r="G90" s="8"/>
      <c r="H90" s="8"/>
      <c r="I90" s="8"/>
      <c r="J90" s="8"/>
      <c r="K90" s="8"/>
      <c r="L90" s="75">
        <v>35000.0</v>
      </c>
    </row>
    <row r="91" ht="16.5" customHeight="1">
      <c r="D91" s="8"/>
      <c r="E91" s="8" t="s">
        <v>160</v>
      </c>
      <c r="F91" s="8"/>
      <c r="G91" s="8"/>
      <c r="H91" s="8"/>
      <c r="I91" s="8"/>
      <c r="J91" s="8"/>
      <c r="K91" s="8"/>
      <c r="L91" s="75">
        <v>30000.0</v>
      </c>
    </row>
    <row r="92" ht="16.5" customHeight="1">
      <c r="D92" s="8"/>
      <c r="E92" s="8" t="s">
        <v>161</v>
      </c>
      <c r="F92" s="8"/>
      <c r="G92" s="8"/>
      <c r="H92" s="8"/>
      <c r="I92" s="8"/>
      <c r="J92" s="8"/>
      <c r="K92" s="8"/>
      <c r="L92" s="75">
        <v>65000.0</v>
      </c>
    </row>
    <row r="93" ht="16.5" customHeight="1">
      <c r="D93" s="8"/>
      <c r="E93" s="8" t="s">
        <v>163</v>
      </c>
      <c r="F93" s="8"/>
      <c r="G93" s="8"/>
      <c r="H93" s="8"/>
      <c r="I93" s="8"/>
      <c r="J93" s="8"/>
      <c r="K93" s="8"/>
      <c r="L93" s="75">
        <v>33000.0</v>
      </c>
    </row>
    <row r="94" ht="16.5" customHeight="1">
      <c r="D94" s="8"/>
      <c r="E94" s="8" t="s">
        <v>164</v>
      </c>
      <c r="F94" s="8"/>
      <c r="G94" s="8"/>
      <c r="H94" s="8"/>
      <c r="I94" s="8"/>
      <c r="J94" s="8"/>
      <c r="K94" s="8"/>
      <c r="L94" s="75">
        <v>40000.0</v>
      </c>
    </row>
    <row r="95" ht="16.5" customHeight="1">
      <c r="D95" s="8"/>
      <c r="E95" s="8" t="s">
        <v>165</v>
      </c>
      <c r="F95" s="8"/>
      <c r="G95" s="8"/>
      <c r="H95" s="8"/>
      <c r="I95" s="8"/>
      <c r="J95" s="8"/>
      <c r="K95" s="8"/>
      <c r="L95" s="74"/>
    </row>
    <row r="96" ht="16.5" customHeight="1">
      <c r="D96" s="8"/>
      <c r="E96" s="8" t="s">
        <v>166</v>
      </c>
      <c r="F96" s="8"/>
      <c r="G96" s="8"/>
      <c r="H96" s="8"/>
      <c r="I96" s="8"/>
      <c r="J96" s="8"/>
      <c r="K96" s="8"/>
      <c r="L96" s="74"/>
    </row>
    <row r="97" ht="16.5" customHeight="1">
      <c r="D97" s="8"/>
      <c r="E97" s="8" t="s">
        <v>167</v>
      </c>
      <c r="F97" s="8"/>
      <c r="G97" s="8"/>
      <c r="H97" s="8"/>
      <c r="I97" s="8"/>
      <c r="J97" s="8"/>
      <c r="K97" s="8"/>
      <c r="L97" s="74"/>
    </row>
    <row r="98" ht="16.5" customHeight="1">
      <c r="D98" s="8"/>
      <c r="E98" s="8" t="s">
        <v>168</v>
      </c>
      <c r="F98" s="8"/>
      <c r="G98" s="8"/>
      <c r="H98" s="8"/>
      <c r="I98" s="8"/>
      <c r="J98" s="8"/>
      <c r="K98" s="8"/>
      <c r="L98" s="74"/>
    </row>
    <row r="99" ht="16.5" customHeight="1">
      <c r="D99" s="8"/>
      <c r="E99" s="8" t="s">
        <v>169</v>
      </c>
      <c r="F99" s="8"/>
      <c r="G99" s="8"/>
      <c r="H99" s="8"/>
      <c r="I99" s="8"/>
      <c r="J99" s="8"/>
      <c r="K99" s="8"/>
      <c r="L99" s="74"/>
    </row>
    <row r="100" ht="16.5" customHeight="1">
      <c r="D100" s="8"/>
      <c r="E100" s="8" t="s">
        <v>170</v>
      </c>
      <c r="F100" s="8"/>
      <c r="G100" s="8"/>
      <c r="H100" s="8"/>
      <c r="I100" s="8"/>
      <c r="J100" s="8"/>
      <c r="K100" s="8"/>
      <c r="L100" s="74"/>
    </row>
    <row r="101" ht="16.5" customHeight="1">
      <c r="D101" s="8"/>
      <c r="E101" s="8" t="s">
        <v>171</v>
      </c>
      <c r="F101" s="8"/>
      <c r="G101" s="8"/>
      <c r="H101" s="8"/>
      <c r="I101" s="8"/>
      <c r="J101" s="8"/>
      <c r="K101" s="8"/>
      <c r="L101" s="74"/>
    </row>
    <row r="102" ht="16.5" customHeight="1">
      <c r="D102" s="8"/>
      <c r="E102" s="8" t="s">
        <v>173</v>
      </c>
      <c r="F102" s="8"/>
      <c r="G102" s="8"/>
      <c r="H102" s="8"/>
      <c r="I102" s="8"/>
      <c r="J102" s="8"/>
      <c r="K102" s="8"/>
      <c r="L102" s="74"/>
    </row>
    <row r="103" ht="16.5" customHeight="1">
      <c r="D103" s="8"/>
      <c r="E103" s="8" t="s">
        <v>174</v>
      </c>
      <c r="F103" s="8"/>
      <c r="G103" s="8"/>
      <c r="H103" s="8"/>
      <c r="I103" s="8"/>
      <c r="J103" s="8"/>
      <c r="K103" s="8"/>
      <c r="L103" s="74"/>
    </row>
    <row r="104" ht="16.5" customHeight="1">
      <c r="D104" s="8"/>
      <c r="E104" s="8" t="s">
        <v>175</v>
      </c>
      <c r="F104" s="8"/>
      <c r="G104" s="8"/>
      <c r="H104" s="8"/>
      <c r="I104" s="8"/>
      <c r="J104" s="8"/>
      <c r="K104" s="8"/>
      <c r="L104" s="74"/>
    </row>
    <row r="105" ht="16.5" customHeight="1">
      <c r="D105" s="8"/>
      <c r="E105" s="8" t="s">
        <v>176</v>
      </c>
      <c r="F105" s="8"/>
      <c r="G105" s="8"/>
      <c r="H105" s="8"/>
      <c r="I105" s="8"/>
      <c r="J105" s="8"/>
      <c r="K105" s="8"/>
      <c r="L105" s="74"/>
    </row>
    <row r="106" ht="16.5" customHeight="1">
      <c r="D106" s="8"/>
      <c r="E106" s="8" t="s">
        <v>177</v>
      </c>
      <c r="F106" s="8"/>
      <c r="G106" s="8"/>
      <c r="H106" s="8"/>
      <c r="I106" s="8"/>
      <c r="J106" s="8"/>
      <c r="K106" s="8"/>
      <c r="L106" s="74"/>
    </row>
    <row r="107" ht="16.5" customHeight="1">
      <c r="D107" s="8"/>
      <c r="E107" s="8" t="s">
        <v>178</v>
      </c>
      <c r="F107" s="8"/>
      <c r="G107" s="8"/>
      <c r="H107" s="8"/>
      <c r="I107" s="8"/>
      <c r="J107" s="8"/>
      <c r="K107" s="8"/>
      <c r="L107" s="74"/>
    </row>
    <row r="108" ht="16.5" customHeight="1">
      <c r="D108" s="8"/>
      <c r="E108" s="8" t="s">
        <v>179</v>
      </c>
      <c r="F108" s="8"/>
      <c r="G108" s="8"/>
      <c r="H108" s="8"/>
      <c r="I108" s="8"/>
      <c r="J108" s="8"/>
      <c r="K108" s="8"/>
      <c r="L108" s="74"/>
    </row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C2:L2"/>
    <mergeCell ref="C3:L3"/>
    <mergeCell ref="C4:L4"/>
    <mergeCell ref="C5:L6"/>
    <mergeCell ref="C9:F9"/>
    <mergeCell ref="C10:D10"/>
    <mergeCell ref="C11:L11"/>
    <mergeCell ref="D21:G21"/>
    <mergeCell ref="H21:I21"/>
    <mergeCell ref="H22:I22"/>
    <mergeCell ref="D23:G23"/>
    <mergeCell ref="H23:I23"/>
    <mergeCell ref="H24:I24"/>
    <mergeCell ref="H25:I25"/>
    <mergeCell ref="H32:I32"/>
    <mergeCell ref="E60:K60"/>
    <mergeCell ref="E61:K61"/>
    <mergeCell ref="E67:H67"/>
    <mergeCell ref="H26:I26"/>
    <mergeCell ref="H27:I27"/>
    <mergeCell ref="H28:I28"/>
    <mergeCell ref="H29:I29"/>
    <mergeCell ref="H30:I30"/>
    <mergeCell ref="H31:I31"/>
    <mergeCell ref="D32:G32"/>
  </mergeCells>
  <printOptions horizontalCentered="1" verticalCentered="1"/>
  <pageMargins bottom="0.75" footer="0.0" header="0.0" left="0.709360294460234" right="0.25" top="0.75"/>
  <pageSetup paperSize="9" orientation="portrait"/>
  <drawing r:id="rId1"/>
</worksheet>
</file>