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" sheetId="1" r:id="rId5"/>
    <sheet state="visible" name="ITEM_MASTER" sheetId="2" r:id="rId6"/>
    <sheet state="visible" name="INPUT" sheetId="3" r:id="rId7"/>
  </sheets>
  <definedNames/>
  <calcPr/>
</workbook>
</file>

<file path=xl/sharedStrings.xml><?xml version="1.0" encoding="utf-8"?>
<sst xmlns="http://schemas.openxmlformats.org/spreadsheetml/2006/main" count="611" uniqueCount="287">
  <si>
    <t>PMC CORPORATION</t>
  </si>
  <si>
    <t>#309, 274 Samsung-ro, Yeongtong-gu, 
Suwon-si, Gyeonggi-do, Republic of Korea  16522</t>
  </si>
  <si>
    <t>E-mail: info@ccorea.com</t>
  </si>
  <si>
    <t xml:space="preserve"> INVOICE</t>
  </si>
  <si>
    <t>Messrs. :Milan Niels / EvoCards</t>
  </si>
  <si>
    <t>no:cc260121EVO</t>
  </si>
  <si>
    <t>Ziegeleistraße 23, 21423 Winsen Luhe, Germany</t>
  </si>
  <si>
    <t>info@evo-cards.de /+49 1520 9504190</t>
  </si>
  <si>
    <r>
      <rPr>
        <rFont val="Tahoma"/>
        <b/>
        <color theme="1"/>
        <sz val="11.0"/>
      </rPr>
      <t>VAT</t>
    </r>
    <r>
      <rPr>
        <rFont val="Tahoma"/>
        <color theme="1"/>
        <sz val="11.0"/>
      </rPr>
      <t>: DE456630518</t>
    </r>
  </si>
  <si>
    <r>
      <rPr>
        <rFont val="Tahoma"/>
        <b/>
        <color rgb="FF222222"/>
      </rPr>
      <t>EORI</t>
    </r>
    <r>
      <rPr>
        <rFont val="Tahoma"/>
        <color rgb="FF222222"/>
      </rPr>
      <t>: DE638885575817721</t>
    </r>
  </si>
  <si>
    <t>We have a pleasure to offer you the following products on terms &amp; conditions as below details:</t>
  </si>
  <si>
    <t>Date</t>
  </si>
  <si>
    <t>:</t>
  </si>
  <si>
    <t>Jan.21,2026</t>
  </si>
  <si>
    <t>Shipping terms</t>
  </si>
  <si>
    <t xml:space="preserve">FOB </t>
  </si>
  <si>
    <t>Packing</t>
  </si>
  <si>
    <t>Export Standard Packing</t>
  </si>
  <si>
    <t>Payment</t>
  </si>
  <si>
    <t>100% T/T in advance</t>
  </si>
  <si>
    <t>Delivery</t>
  </si>
  <si>
    <t>Asap after payment</t>
  </si>
  <si>
    <t>Origin</t>
  </si>
  <si>
    <t>Republic of Korea</t>
  </si>
  <si>
    <t>NO.</t>
  </si>
  <si>
    <t>ITEM</t>
  </si>
  <si>
    <t>Q'ty</t>
  </si>
  <si>
    <t>Unit Price</t>
  </si>
  <si>
    <t>Amount</t>
  </si>
  <si>
    <t>shipping charge</t>
  </si>
  <si>
    <t>TOTAL</t>
  </si>
  <si>
    <t>box</t>
  </si>
  <si>
    <t>Looking forward to your valued order for above invoice.</t>
  </si>
  <si>
    <t>Payment Information</t>
  </si>
  <si>
    <t>-Paypal payment</t>
  </si>
  <si>
    <t>toonier@naver.com</t>
  </si>
  <si>
    <t>-wise payment</t>
  </si>
  <si>
    <t>recepient: PMC Corporation</t>
  </si>
  <si>
    <t>signed by</t>
  </si>
  <si>
    <t>alias</t>
  </si>
  <si>
    <t>id</t>
  </si>
  <si>
    <t>full_name</t>
  </si>
  <si>
    <t>POKEMON CARDS LIST</t>
  </si>
  <si>
    <t>Battle Partners</t>
  </si>
  <si>
    <t>sv9</t>
  </si>
  <si>
    <t>Pokemon Card Game Scarlet &amp; Violet Battle Partners sv9 Booster Box</t>
  </si>
  <si>
    <t>Battle</t>
  </si>
  <si>
    <t>151</t>
  </si>
  <si>
    <t>sv2a</t>
  </si>
  <si>
    <t>Pokemon Card Game Scarlet &amp; Violet 151 sv2a Booster Box</t>
  </si>
  <si>
    <t>Super Electric Breaker</t>
  </si>
  <si>
    <t>sv8</t>
  </si>
  <si>
    <t>Pokemon Card Game Scarlet &amp; Violet Super Electric Breaker sv8 Booster Box</t>
  </si>
  <si>
    <t>Electric</t>
  </si>
  <si>
    <t>Electric Breaker</t>
  </si>
  <si>
    <t>Paradise Dragona</t>
  </si>
  <si>
    <t>sv7a</t>
  </si>
  <si>
    <t>Pokemon Card Game Scarlet &amp; Violet Paradise Dragona sv7a Booster Box</t>
  </si>
  <si>
    <t>Paradise</t>
  </si>
  <si>
    <t>Dragona</t>
  </si>
  <si>
    <t>Ruler of the Black Flame</t>
  </si>
  <si>
    <t>sv3</t>
  </si>
  <si>
    <t>Pokemon Card Game Scarlet &amp; Violet Ruler of the Black Flame sv3 Booster Box</t>
  </si>
  <si>
    <t>Black Flame</t>
  </si>
  <si>
    <t>Ruler</t>
  </si>
  <si>
    <t>Crimson Haze</t>
  </si>
  <si>
    <t>sv5a</t>
  </si>
  <si>
    <t>Pokemon Card Game Scarlet &amp; Violet Crimson Haze sv5a Booster Box</t>
  </si>
  <si>
    <t>Crimson</t>
  </si>
  <si>
    <t>Eevee Heroes</t>
  </si>
  <si>
    <t>s6a</t>
  </si>
  <si>
    <t>Pokemon Card Game Sword &amp; Shield Eevee Heroes s6a Booster Box</t>
  </si>
  <si>
    <t>Eevee</t>
  </si>
  <si>
    <t>Night Wanderer</t>
  </si>
  <si>
    <t>sv6a</t>
  </si>
  <si>
    <t>Pokemon Card Game Scarlet &amp; Violet Night Wanderer sv6a Booster Box</t>
  </si>
  <si>
    <t>NIght</t>
  </si>
  <si>
    <t>Stellar Miracle</t>
  </si>
  <si>
    <t>sv7</t>
  </si>
  <si>
    <t>Pokemon Card Game Scarlet &amp; Violet Stellar Miracle sv7 Booster Box</t>
  </si>
  <si>
    <t>Stellar</t>
  </si>
  <si>
    <t>Raging Surf</t>
  </si>
  <si>
    <t>sv3a</t>
  </si>
  <si>
    <t>Pokemon Card Game Scarlet &amp; Violet Raging Surf sv3a Booster Box</t>
  </si>
  <si>
    <t>Raging</t>
  </si>
  <si>
    <t>Wild Force</t>
  </si>
  <si>
    <t>sv5k</t>
  </si>
  <si>
    <t>Pokemon Card Game Scarlet &amp; Violet Wild Force sv5k Booster Box</t>
  </si>
  <si>
    <t>Wild</t>
  </si>
  <si>
    <t>Lost Abyss</t>
  </si>
  <si>
    <t>s11</t>
  </si>
  <si>
    <t>Pokemon Card Game Sword &amp; Shield Lost Abyss s11 Booster Box</t>
  </si>
  <si>
    <t>Lost</t>
  </si>
  <si>
    <t>Abyss</t>
  </si>
  <si>
    <t>Skyscraper Perfect</t>
  </si>
  <si>
    <t>s7d</t>
  </si>
  <si>
    <t>Pokemon Card Game Sword &amp; Shield Skyscraper Perfect s7d Booster Box</t>
  </si>
  <si>
    <t>Skyscraper</t>
  </si>
  <si>
    <t>Sky perfect</t>
  </si>
  <si>
    <t>Incandescent Arcana</t>
  </si>
  <si>
    <t>s11a</t>
  </si>
  <si>
    <t>Pokemon Card Game Sword &amp; Shield Incandescent Arcana s11a Booster Box</t>
  </si>
  <si>
    <t>Arcana</t>
  </si>
  <si>
    <t>Incandescent</t>
  </si>
  <si>
    <t>Space Juggler</t>
  </si>
  <si>
    <t>s10p</t>
  </si>
  <si>
    <t>Pokemon Card Game Sword &amp; Shield Space Juggler s10p Booster Box</t>
  </si>
  <si>
    <t>Juggler</t>
  </si>
  <si>
    <t>Time Gazer</t>
  </si>
  <si>
    <t>s10d</t>
  </si>
  <si>
    <t>Pokemon Card Game Sword &amp; Shield Time Gazer s10d Booster Box</t>
  </si>
  <si>
    <t>Time</t>
  </si>
  <si>
    <t>Silver Lance</t>
  </si>
  <si>
    <t>s6h</t>
  </si>
  <si>
    <t>Pokemon Card Game Sword &amp; Shield Silver Lance s6h Booster Box</t>
  </si>
  <si>
    <t>Silver</t>
  </si>
  <si>
    <t>Explosive Flame Walker</t>
  </si>
  <si>
    <t>s2a</t>
  </si>
  <si>
    <t>Pokemon Card Game Sword &amp; Shield Explosive Flame Walker s2a Booster Box</t>
  </si>
  <si>
    <t>Flame Walker</t>
  </si>
  <si>
    <t>Rapid Strike Master</t>
  </si>
  <si>
    <t>s5r</t>
  </si>
  <si>
    <t>Pokemon Card Game Sword &amp; Shield Rapid Strike Master s5r Booster Box</t>
  </si>
  <si>
    <t>Rapid Strike</t>
  </si>
  <si>
    <t>Rebellion Crash</t>
  </si>
  <si>
    <t>s2</t>
  </si>
  <si>
    <t>Pokemon Card Game Sword &amp; Shield Rebellion Crash s2 Booster Box</t>
  </si>
  <si>
    <t>Rebellion</t>
  </si>
  <si>
    <t>Matchless Fighter</t>
  </si>
  <si>
    <t>s5a</t>
  </si>
  <si>
    <t>Pokemon Card Game Sword &amp; Shield Matchless Fighter s5a Booster Box</t>
  </si>
  <si>
    <t>Matchless</t>
  </si>
  <si>
    <t>VMAX Climax</t>
  </si>
  <si>
    <t>s8b</t>
  </si>
  <si>
    <t>Pokemon Card Game Sword &amp; Shield VMAX Climax s8b</t>
  </si>
  <si>
    <t>Climax</t>
  </si>
  <si>
    <t>VMAX</t>
  </si>
  <si>
    <t>Shiny Star V</t>
  </si>
  <si>
    <t>s4a</t>
  </si>
  <si>
    <t>Pokemon Card Game Sword &amp; Shield Shiny Star V s4a</t>
  </si>
  <si>
    <t>Shiny Star</t>
  </si>
  <si>
    <t>Glory of Team Rocket</t>
  </si>
  <si>
    <t>sv10</t>
  </si>
  <si>
    <t>Pokemon Card Game Scarlet &amp; Violet Glory of Team Rocket sv10 Booster Box</t>
  </si>
  <si>
    <t>Glory</t>
  </si>
  <si>
    <t>Rocket</t>
  </si>
  <si>
    <t>Team Rocket</t>
  </si>
  <si>
    <t>Black Bolt</t>
  </si>
  <si>
    <t>sv11b</t>
  </si>
  <si>
    <t>Pokemon Card Game Scarlet &amp; Violet Black Bolt sv11b Booster Box</t>
  </si>
  <si>
    <t>Black</t>
  </si>
  <si>
    <t>BB</t>
  </si>
  <si>
    <t>Mega Symphonia</t>
  </si>
  <si>
    <t>m1s</t>
  </si>
  <si>
    <t>Pokemon Card Game MEGA Mega Symphonia m1S Booster Box</t>
  </si>
  <si>
    <t>Symphonia</t>
  </si>
  <si>
    <t>Mega Inferno X</t>
  </si>
  <si>
    <t>m2</t>
  </si>
  <si>
    <t>Pokemon Card Game MEGA Mega Inferno X m2 Booster Box</t>
  </si>
  <si>
    <t>Inferno X</t>
  </si>
  <si>
    <t>Inferno</t>
  </si>
  <si>
    <t>VSTAR Universe</t>
  </si>
  <si>
    <t>s12a</t>
  </si>
  <si>
    <t>Pokemon Card Game Sword &amp; Shield VSTAR Universe s12a</t>
  </si>
  <si>
    <t>Universe</t>
  </si>
  <si>
    <t>VSTAR</t>
  </si>
  <si>
    <t>Dark Phantasma</t>
  </si>
  <si>
    <t>s10a</t>
  </si>
  <si>
    <t>Pokemon Card Game Sword &amp; Shield Dark Phantasma s10a Booster Box</t>
  </si>
  <si>
    <t>Phantasma</t>
  </si>
  <si>
    <t>Dark</t>
  </si>
  <si>
    <t>Terastal Festival ex</t>
  </si>
  <si>
    <t>sv8a</t>
  </si>
  <si>
    <t>Pokemon Card Game Scarlet &amp; Violet Terastal Festival ex sv8a Booster Box</t>
  </si>
  <si>
    <t>Terastal</t>
  </si>
  <si>
    <t>Tera</t>
  </si>
  <si>
    <t>Shiny Treasure ex</t>
  </si>
  <si>
    <t>sv4a</t>
  </si>
  <si>
    <t>Pokemon Card Game Scarlet &amp; Violet Shiny Treasure ex sv4a</t>
  </si>
  <si>
    <t>Shiny</t>
  </si>
  <si>
    <t xml:space="preserve">Shiny Treasure </t>
  </si>
  <si>
    <t>Cyber Judge</t>
  </si>
  <si>
    <t>sv5m</t>
  </si>
  <si>
    <t>Pokemon Card Game Scarlet &amp; Violet Cyber Judge sv5m Booster Box</t>
  </si>
  <si>
    <t>Cyber</t>
  </si>
  <si>
    <t>Ancient Roar</t>
  </si>
  <si>
    <t>sv4k</t>
  </si>
  <si>
    <t>Pokemon Card Game Scarlet &amp; Violet Ancient Roar sv4k Booster Box</t>
  </si>
  <si>
    <t>Ancient</t>
  </si>
  <si>
    <t>Future Flash</t>
  </si>
  <si>
    <t>sv4m</t>
  </si>
  <si>
    <t>Pokemon Card Game Scarlet &amp; Violet Future Flash sv4m Booster Box</t>
  </si>
  <si>
    <t>Future</t>
  </si>
  <si>
    <t>Clay Burst</t>
  </si>
  <si>
    <t>sv2d</t>
  </si>
  <si>
    <t>Pokemon Card Game Scarlet &amp; Violet Clay Burst sv2d Booster Box</t>
  </si>
  <si>
    <t>Clay</t>
  </si>
  <si>
    <t>Snow Hazard</t>
  </si>
  <si>
    <t>sv2p</t>
  </si>
  <si>
    <t>Pokemon Card Game Scarlet &amp; Violet Snow Hazard sv2p Booster Box</t>
  </si>
  <si>
    <t>Snow</t>
  </si>
  <si>
    <t>Triplet Beat</t>
  </si>
  <si>
    <t>sv1a</t>
  </si>
  <si>
    <t>Pokemon Card Game Scarlet &amp; Violet Triplet Beat sv1a Booster Box</t>
  </si>
  <si>
    <t>Triplet</t>
  </si>
  <si>
    <t>Scarlet ex</t>
  </si>
  <si>
    <t>sv1v</t>
  </si>
  <si>
    <t>Pokemon Card Game Scarlet &amp; Violet Scarlet ex sv1v Booster Box</t>
  </si>
  <si>
    <t>Scarlet</t>
  </si>
  <si>
    <t>Violet ex</t>
  </si>
  <si>
    <t>sv1s</t>
  </si>
  <si>
    <t>Pokemon Card Game Scarlet &amp; Violet Violet ex sv1s Booster Box</t>
  </si>
  <si>
    <t xml:space="preserve">Violet </t>
  </si>
  <si>
    <t>Paradigm Trigger</t>
  </si>
  <si>
    <t>s12</t>
  </si>
  <si>
    <t>Pokemon Card Game Sword &amp; Shield Paradigm Trigger s12 Booster Box</t>
  </si>
  <si>
    <t>Paradigm</t>
  </si>
  <si>
    <t>Battle Region</t>
  </si>
  <si>
    <t>s9a</t>
  </si>
  <si>
    <t>Pokemon Card Game Sword &amp; Shield Battle Region s9a Booster Box</t>
  </si>
  <si>
    <t>Region</t>
  </si>
  <si>
    <t>Star Birth</t>
  </si>
  <si>
    <t>s9</t>
  </si>
  <si>
    <t>Pokemon Card Game Sword &amp; Shield Star Birth s9 Booster Box</t>
  </si>
  <si>
    <t>Star</t>
  </si>
  <si>
    <t>Blue Sky Stream</t>
  </si>
  <si>
    <t>s7r</t>
  </si>
  <si>
    <t>Pokemon Card Game Sword &amp; Shield Blue Sky Stream s7r Booster Box</t>
  </si>
  <si>
    <t>Blue Sky</t>
  </si>
  <si>
    <t>Fusion Arts</t>
  </si>
  <si>
    <t>s8</t>
  </si>
  <si>
    <t>Pokemon Card Game Sword &amp; Shield Fusion Arts s8 Booster Box</t>
  </si>
  <si>
    <t>Fusion</t>
  </si>
  <si>
    <t>Astonishing Volt Tackle</t>
  </si>
  <si>
    <t>s4</t>
  </si>
  <si>
    <t>Pokemon Card Game Sword &amp; Shield Astonishing Volt Tackle s4 Booster Box</t>
  </si>
  <si>
    <t>Astonishing</t>
  </si>
  <si>
    <t>Volt Tackle</t>
  </si>
  <si>
    <t>Legendary Heartbeat</t>
  </si>
  <si>
    <t>s3a</t>
  </si>
  <si>
    <t>Pokemon Card Game Sword &amp; Shield Legendary Heartbeat s3a Booster Box</t>
  </si>
  <si>
    <t>Legendary</t>
  </si>
  <si>
    <t>Infinity Zone</t>
  </si>
  <si>
    <t>s3</t>
  </si>
  <si>
    <t>Pokemon Card Game Sword &amp; Shield Infinity Zone s3 Booster Box</t>
  </si>
  <si>
    <t>Infinity</t>
  </si>
  <si>
    <t>VMAX Rising</t>
  </si>
  <si>
    <t>s1a</t>
  </si>
  <si>
    <t>Pokemon Card Game Sword &amp; Shield VMAX Rising s1a Booster Box</t>
  </si>
  <si>
    <t>Single Strike Master</t>
  </si>
  <si>
    <t>s5i</t>
  </si>
  <si>
    <t>Pokemon Card Game Sword &amp; Shield Single Strike Master s5i Booster Box</t>
  </si>
  <si>
    <t>Single Strike</t>
  </si>
  <si>
    <t>Jet Black Geist</t>
  </si>
  <si>
    <t>s6k</t>
  </si>
  <si>
    <t>Pokemon Card Game Sword &amp; Shield Jet Black Geist s6k Booster Box</t>
  </si>
  <si>
    <t>Jet Black</t>
  </si>
  <si>
    <t>Sword V</t>
  </si>
  <si>
    <t>s1w</t>
  </si>
  <si>
    <t>Pokemon Card Game Sword &amp; Shield Sword V s1w Booster Box</t>
  </si>
  <si>
    <t xml:space="preserve">Sword </t>
  </si>
  <si>
    <t>Heat Wave Arena</t>
  </si>
  <si>
    <t>sv9a</t>
  </si>
  <si>
    <t>Pokemon Card Game Scarlet &amp; Violet Heat Wave Arena sv9a Booster Box</t>
  </si>
  <si>
    <t xml:space="preserve">Heat Wave </t>
  </si>
  <si>
    <t>Arena</t>
  </si>
  <si>
    <t>White Flare</t>
  </si>
  <si>
    <t>sv11w</t>
  </si>
  <si>
    <t>Pokemon Card Game Scarlet &amp; Violet White Flare sv11w Booster Box</t>
  </si>
  <si>
    <t>White</t>
  </si>
  <si>
    <t>Mega Brave</t>
  </si>
  <si>
    <t>m1L</t>
  </si>
  <si>
    <t>Pokemon Card Game MEGA Mega Brave m1L Booster Box</t>
  </si>
  <si>
    <t>Brave</t>
  </si>
  <si>
    <t>Mega Dream EX</t>
  </si>
  <si>
    <t>m2a</t>
  </si>
  <si>
    <t>Pokemon Card Game MEGA Mega Dream EX m2a Booster Box</t>
  </si>
  <si>
    <t>Dream</t>
  </si>
  <si>
    <t>Dream ex</t>
  </si>
  <si>
    <t>Mega Dream</t>
  </si>
  <si>
    <t>ONE PIECE CARDS LIST</t>
  </si>
  <si>
    <t>full name</t>
  </si>
  <si>
    <t>qty</t>
  </si>
  <si>
    <t>unit_price</t>
  </si>
  <si>
    <t>input_alias</t>
  </si>
  <si>
    <t>LOST</t>
  </si>
  <si>
    <t>CLAY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</si>
</sst>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/dd/yyyy"/>
    <numFmt numFmtId="165" formatCode="yyyy-mm-dd"/>
    <numFmt numFmtId="166" formatCode="[$$]#,##0"/>
    <numFmt numFmtId="167" formatCode="&quot;₩&quot;#,##0_);[Red]\(&quot;₩&quot;#,##0\)"/>
    <numFmt numFmtId="168" formatCode="[$₩-412]#,##0"/>
  </numFmts>
  <fonts count="23">
    <font>
      <sz val="11.0"/>
      <color theme="1"/>
      <name val="Calibri"/>
      <scheme val="minor"/>
    </font>
    <font>
      <b/>
      <sz val="22.0"/>
      <color theme="1"/>
      <name val="Tahoma"/>
    </font>
    <font>
      <sz val="11.0"/>
      <color theme="1"/>
      <name val="Tahoma"/>
    </font>
    <font>
      <b/>
      <u/>
      <sz val="28.0"/>
      <color theme="1"/>
      <name val="Tahoma"/>
    </font>
    <font>
      <color theme="1"/>
      <name val="Calibri"/>
    </font>
    <font>
      <b/>
      <u/>
      <sz val="11.0"/>
      <color theme="1"/>
      <name val="Tahoma"/>
    </font>
    <font>
      <b/>
      <sz val="11.0"/>
      <color theme="1"/>
      <name val="Tahoma"/>
    </font>
    <font>
      <sz val="11.0"/>
      <color rgb="FF0563C1"/>
      <name val="Malgun Gothic"/>
    </font>
    <font>
      <sz val="11.0"/>
      <color rgb="FF333333"/>
      <name val="Tahoma"/>
    </font>
    <font>
      <color rgb="FF222222"/>
      <name val="Tahoma"/>
    </font>
    <font>
      <sz val="11.0"/>
      <color theme="1"/>
      <name val="Malgun Gothic"/>
    </font>
    <font>
      <b/>
      <sz val="12.0"/>
      <color theme="1"/>
      <name val="Malgun Gothic"/>
    </font>
    <font/>
    <font>
      <sz val="11.0"/>
      <color rgb="FF000000"/>
      <name val="Tahoma"/>
    </font>
    <font>
      <b/>
      <u/>
      <sz val="12.0"/>
      <color theme="1"/>
      <name val="Tahoma"/>
    </font>
    <font>
      <b/>
      <sz val="11.0"/>
      <color theme="1"/>
      <name val="Malgun Gothic"/>
    </font>
    <font>
      <sz val="10.0"/>
      <color rgb="FF303030"/>
      <name val="Quattrocento Sans"/>
    </font>
    <font>
      <u/>
      <sz val="11.0"/>
      <color theme="1"/>
      <name val="Malgun Gothic"/>
    </font>
    <font>
      <sz val="11.0"/>
      <color theme="1"/>
      <name val="Calibri"/>
    </font>
    <font>
      <b/>
      <sz val="11.0"/>
      <color theme="1"/>
      <name val="Calibri"/>
    </font>
    <font>
      <strike/>
      <sz val="11.0"/>
      <color theme="1"/>
      <name val="Malgun Gothic"/>
    </font>
    <font>
      <b/>
      <sz val="13.0"/>
      <color theme="1"/>
      <name val="Calibri"/>
    </font>
    <font>
      <b/>
      <i/>
      <sz val="18.0"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</fills>
  <borders count="40">
    <border/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vertical="center"/>
    </xf>
    <xf borderId="0" fillId="0" fontId="5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6" numFmtId="0" xfId="0" applyAlignment="1" applyFont="1">
      <alignment vertical="center"/>
    </xf>
    <xf borderId="0" fillId="0" fontId="2" numFmtId="0" xfId="0" applyAlignment="1" applyFont="1">
      <alignment horizontal="right" vertical="center"/>
    </xf>
    <xf borderId="0" fillId="0" fontId="7" numFmtId="0" xfId="0" applyAlignment="1" applyFont="1">
      <alignment vertical="center"/>
    </xf>
    <xf borderId="0" fillId="0" fontId="2" numFmtId="0" xfId="0" applyAlignment="1" applyFont="1">
      <alignment horizontal="left" vertical="center"/>
    </xf>
    <xf borderId="0" fillId="0" fontId="2" numFmtId="164" xfId="0" applyAlignment="1" applyFont="1" applyNumberFormat="1">
      <alignment horizontal="left" vertical="center"/>
    </xf>
    <xf borderId="0" fillId="0" fontId="8" numFmtId="0" xfId="0" applyAlignment="1" applyFont="1">
      <alignment vertical="center"/>
    </xf>
    <xf borderId="0" fillId="2" fontId="9" numFmtId="0" xfId="0" applyAlignment="1" applyFill="1" applyFont="1">
      <alignment vertical="center"/>
    </xf>
    <xf borderId="0" fillId="0" fontId="2" numFmtId="0" xfId="0" applyAlignment="1" applyFont="1">
      <alignment horizontal="left" shrinkToFit="0" vertical="center" wrapText="1"/>
    </xf>
    <xf borderId="0" fillId="0" fontId="10" numFmtId="0" xfId="0" applyAlignment="1" applyFont="1">
      <alignment shrinkToFit="0" vertical="center" wrapText="1"/>
    </xf>
    <xf borderId="0" fillId="0" fontId="10" numFmtId="165" xfId="0" applyAlignment="1" applyFont="1" applyNumberFormat="1">
      <alignment shrinkToFit="0" vertical="center" wrapText="1"/>
    </xf>
    <xf borderId="0" fillId="0" fontId="11" numFmtId="0" xfId="0" applyAlignment="1" applyFont="1">
      <alignment vertical="center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vertical="center"/>
    </xf>
    <xf borderId="0" fillId="0" fontId="10" numFmtId="164" xfId="0" applyAlignment="1" applyFont="1" applyNumberFormat="1">
      <alignment horizontal="left" vertical="center"/>
    </xf>
    <xf borderId="1" fillId="0" fontId="2" numFmtId="0" xfId="0" applyAlignment="1" applyBorder="1" applyFont="1">
      <alignment horizontal="center" vertical="center"/>
    </xf>
    <xf borderId="2" fillId="0" fontId="2" numFmtId="0" xfId="0" applyAlignment="1" applyBorder="1" applyFont="1">
      <alignment horizontal="center" vertical="center"/>
    </xf>
    <xf borderId="3" fillId="0" fontId="12" numFmtId="0" xfId="0" applyAlignment="1" applyBorder="1" applyFont="1">
      <alignment vertical="center"/>
    </xf>
    <xf borderId="4" fillId="0" fontId="12" numFmtId="0" xfId="0" applyAlignment="1" applyBorder="1" applyFont="1">
      <alignment vertical="center"/>
    </xf>
    <xf borderId="5" fillId="0" fontId="2" numFmtId="0" xfId="0" applyAlignment="1" applyBorder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8" fillId="0" fontId="4" numFmtId="0" xfId="0" applyAlignment="1" applyBorder="1" applyFont="1">
      <alignment vertical="center"/>
    </xf>
    <xf borderId="9" fillId="0" fontId="12" numFmtId="0" xfId="0" applyAlignment="1" applyBorder="1" applyFont="1">
      <alignment vertical="center"/>
    </xf>
    <xf borderId="10" fillId="0" fontId="12" numFmtId="0" xfId="0" applyAlignment="1" applyBorder="1" applyFont="1">
      <alignment vertical="center"/>
    </xf>
    <xf borderId="11" fillId="0" fontId="2" numFmtId="0" xfId="0" applyAlignment="1" applyBorder="1" applyFont="1">
      <alignment horizontal="center" vertical="center"/>
    </xf>
    <xf borderId="12" fillId="0" fontId="12" numFmtId="0" xfId="0" applyAlignment="1" applyBorder="1" applyFont="1">
      <alignment vertical="center"/>
    </xf>
    <xf borderId="13" fillId="0" fontId="13" numFmtId="166" xfId="0" applyAlignment="1" applyBorder="1" applyFont="1" applyNumberFormat="1">
      <alignment vertical="center"/>
    </xf>
    <xf borderId="14" fillId="0" fontId="2" numFmtId="166" xfId="0" applyAlignment="1" applyBorder="1" applyFont="1" applyNumberFormat="1">
      <alignment vertical="center"/>
    </xf>
    <xf borderId="15" fillId="0" fontId="4" numFmtId="0" xfId="0" applyAlignment="1" applyBorder="1" applyFont="1">
      <alignment vertical="center"/>
    </xf>
    <xf borderId="15" fillId="0" fontId="12" numFmtId="0" xfId="0" applyAlignment="1" applyBorder="1" applyFont="1">
      <alignment vertical="center"/>
    </xf>
    <xf borderId="16" fillId="0" fontId="6" numFmtId="0" xfId="0" applyAlignment="1" applyBorder="1" applyFont="1">
      <alignment vertical="center"/>
    </xf>
    <xf borderId="17" fillId="0" fontId="6" numFmtId="0" xfId="0" applyAlignment="1" applyBorder="1" applyFont="1">
      <alignment vertical="center"/>
    </xf>
    <xf borderId="18" fillId="0" fontId="6" numFmtId="167" xfId="0" applyAlignment="1" applyBorder="1" applyFont="1" applyNumberFormat="1">
      <alignment vertical="center"/>
    </xf>
    <xf borderId="19" fillId="0" fontId="2" numFmtId="166" xfId="0" applyAlignment="1" applyBorder="1" applyFont="1" applyNumberFormat="1">
      <alignment vertical="center"/>
    </xf>
    <xf borderId="0" fillId="0" fontId="2" numFmtId="0" xfId="0" applyAlignment="1" applyFont="1">
      <alignment vertical="bottom"/>
    </xf>
    <xf borderId="0" fillId="0" fontId="14" numFmtId="0" xfId="0" applyAlignment="1" applyFont="1">
      <alignment vertical="center"/>
    </xf>
    <xf quotePrefix="1" borderId="0" fillId="0" fontId="6" numFmtId="0" xfId="0" applyAlignment="1" applyFont="1">
      <alignment vertical="center"/>
    </xf>
    <xf borderId="0" fillId="0" fontId="15" numFmtId="0" xfId="0" applyAlignment="1" applyFont="1">
      <alignment vertical="center"/>
    </xf>
    <xf borderId="0" fillId="0" fontId="16" numFmtId="0" xfId="0" applyAlignment="1" applyFont="1">
      <alignment vertical="center"/>
    </xf>
    <xf borderId="0" fillId="0" fontId="4" numFmtId="0" xfId="0" applyAlignment="1" applyFont="1">
      <alignment horizontal="right" vertical="center"/>
    </xf>
    <xf borderId="0" fillId="0" fontId="17" numFmtId="0" xfId="0" applyAlignment="1" applyFont="1">
      <alignment vertical="center"/>
    </xf>
    <xf borderId="0" fillId="2" fontId="4" numFmtId="0" xfId="0" applyAlignment="1" applyFont="1">
      <alignment vertical="center"/>
    </xf>
    <xf borderId="0" fillId="0" fontId="15" numFmtId="0" xfId="0" applyAlignment="1" applyFont="1">
      <alignment horizontal="left" vertical="center"/>
    </xf>
    <xf borderId="0" fillId="2" fontId="18" numFmtId="0" xfId="0" applyAlignment="1" applyFont="1">
      <alignment vertical="center"/>
    </xf>
    <xf borderId="20" fillId="2" fontId="19" numFmtId="0" xfId="0" applyAlignment="1" applyBorder="1" applyFont="1">
      <alignment vertical="center"/>
    </xf>
    <xf borderId="20" fillId="2" fontId="18" numFmtId="0" xfId="0" applyAlignment="1" applyBorder="1" applyFont="1">
      <alignment vertical="center"/>
    </xf>
    <xf borderId="0" fillId="2" fontId="18" numFmtId="168" xfId="0" applyAlignment="1" applyFont="1" applyNumberFormat="1">
      <alignment vertical="center"/>
    </xf>
    <xf borderId="0" fillId="0" fontId="10" numFmtId="0" xfId="0" applyAlignment="1" applyFont="1">
      <alignment horizontal="left" vertical="center"/>
    </xf>
    <xf borderId="0" fillId="2" fontId="18" numFmtId="168" xfId="0" applyAlignment="1" applyFont="1" applyNumberFormat="1">
      <alignment horizontal="right" vertical="center"/>
    </xf>
    <xf borderId="0" fillId="0" fontId="20" numFmtId="0" xfId="0" applyAlignment="1" applyFont="1">
      <alignment horizontal="left" vertical="center"/>
    </xf>
    <xf borderId="21" fillId="0" fontId="21" numFmtId="0" xfId="0" applyAlignment="1" applyBorder="1" applyFont="1">
      <alignment horizontal="center" vertical="center"/>
    </xf>
    <xf borderId="22" fillId="0" fontId="21" numFmtId="0" xfId="0" applyAlignment="1" applyBorder="1" applyFont="1">
      <alignment horizontal="center" vertical="center"/>
    </xf>
    <xf borderId="23" fillId="0" fontId="21" numFmtId="0" xfId="0" applyAlignment="1" applyBorder="1" applyFont="1">
      <alignment horizontal="center" vertical="center"/>
    </xf>
    <xf borderId="24" fillId="0" fontId="22" numFmtId="0" xfId="0" applyAlignment="1" applyBorder="1" applyFont="1">
      <alignment horizontal="center" vertical="center"/>
    </xf>
    <xf borderId="25" fillId="0" fontId="12" numFmtId="0" xfId="0" applyAlignment="1" applyBorder="1" applyFont="1">
      <alignment vertical="center"/>
    </xf>
    <xf borderId="26" fillId="0" fontId="12" numFmtId="0" xfId="0" applyAlignment="1" applyBorder="1" applyFont="1">
      <alignment vertical="center"/>
    </xf>
    <xf borderId="27" fillId="3" fontId="4" numFmtId="0" xfId="0" applyAlignment="1" applyBorder="1" applyFill="1" applyFont="1">
      <alignment vertical="center"/>
    </xf>
    <xf borderId="28" fillId="3" fontId="4" numFmtId="0" xfId="0" applyAlignment="1" applyBorder="1" applyFont="1">
      <alignment vertical="center"/>
    </xf>
    <xf borderId="29" fillId="3" fontId="4" numFmtId="0" xfId="0" applyAlignment="1" applyBorder="1" applyFont="1">
      <alignment vertical="center"/>
    </xf>
    <xf borderId="30" fillId="4" fontId="4" numFmtId="0" xfId="0" applyAlignment="1" applyBorder="1" applyFill="1" applyFont="1">
      <alignment vertical="center"/>
    </xf>
    <xf borderId="31" fillId="4" fontId="4" numFmtId="0" xfId="0" applyAlignment="1" applyBorder="1" applyFont="1">
      <alignment vertical="center"/>
    </xf>
    <xf borderId="32" fillId="4" fontId="4" numFmtId="0" xfId="0" applyAlignment="1" applyBorder="1" applyFont="1">
      <alignment vertical="center"/>
    </xf>
    <xf quotePrefix="1" borderId="30" fillId="3" fontId="4" numFmtId="0" xfId="0" applyAlignment="1" applyBorder="1" applyFont="1">
      <alignment horizontal="left" vertical="center"/>
    </xf>
    <xf borderId="31" fillId="3" fontId="4" numFmtId="0" xfId="0" applyAlignment="1" applyBorder="1" applyFont="1">
      <alignment vertical="center"/>
    </xf>
    <xf borderId="32" fillId="3" fontId="4" numFmtId="0" xfId="0" applyAlignment="1" applyBorder="1" applyFont="1">
      <alignment vertical="center"/>
    </xf>
    <xf borderId="30" fillId="3" fontId="4" numFmtId="0" xfId="0" applyAlignment="1" applyBorder="1" applyFont="1">
      <alignment vertical="center"/>
    </xf>
    <xf borderId="0" fillId="5" fontId="4" numFmtId="0" xfId="0" applyAlignment="1" applyFill="1" applyFont="1">
      <alignment vertical="center"/>
    </xf>
    <xf borderId="31" fillId="6" fontId="4" numFmtId="0" xfId="0" applyAlignment="1" applyBorder="1" applyFill="1" applyFont="1">
      <alignment vertical="center"/>
    </xf>
    <xf borderId="32" fillId="6" fontId="4" numFmtId="0" xfId="0" applyAlignment="1" applyBorder="1" applyFont="1">
      <alignment vertical="center"/>
    </xf>
    <xf borderId="30" fillId="6" fontId="4" numFmtId="0" xfId="0" applyAlignment="1" applyBorder="1" applyFont="1">
      <alignment vertical="center"/>
    </xf>
    <xf borderId="10" fillId="4" fontId="4" numFmtId="0" xfId="0" applyAlignment="1" applyBorder="1" applyFont="1">
      <alignment vertical="center"/>
    </xf>
    <xf borderId="33" fillId="4" fontId="4" numFmtId="0" xfId="0" applyAlignment="1" applyBorder="1" applyFont="1">
      <alignment vertical="center"/>
    </xf>
    <xf borderId="34" fillId="4" fontId="4" numFmtId="0" xfId="0" applyAlignment="1" applyBorder="1" applyFont="1">
      <alignment vertical="center"/>
    </xf>
    <xf borderId="35" fillId="4" fontId="4" numFmtId="0" xfId="0" applyAlignment="1" applyBorder="1" applyFont="1">
      <alignment vertical="center"/>
    </xf>
    <xf borderId="36" fillId="4" fontId="4" numFmtId="0" xfId="0" applyAlignment="1" applyBorder="1" applyFont="1">
      <alignment vertical="center"/>
    </xf>
    <xf borderId="37" fillId="0" fontId="22" numFmtId="0" xfId="0" applyAlignment="1" applyBorder="1" applyFont="1">
      <alignment horizontal="center" vertical="center"/>
    </xf>
    <xf borderId="38" fillId="0" fontId="12" numFmtId="0" xfId="0" applyAlignment="1" applyBorder="1" applyFont="1">
      <alignment vertical="center"/>
    </xf>
    <xf borderId="39" fillId="0" fontId="12" numFmtId="0" xfId="0" applyAlignment="1" applyBorder="1" applyFont="1">
      <alignment vertical="center"/>
    </xf>
    <xf borderId="37" fillId="0" fontId="21" numFmtId="0" xfId="0" applyAlignment="1" applyBorder="1" applyFont="1">
      <alignment horizontal="center" vertical="center"/>
    </xf>
    <xf borderId="38" fillId="0" fontId="21" numFmtId="0" xfId="0" applyAlignment="1" applyBorder="1" applyFont="1">
      <alignment horizontal="center" vertical="center"/>
    </xf>
    <xf borderId="39" fillId="0" fontId="21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571500</xdr:colOff>
      <xdr:row>38</xdr:row>
      <xdr:rowOff>200025</xdr:rowOff>
    </xdr:from>
    <xdr:ext cx="2019300" cy="904875"/>
    <xdr:pic>
      <xdr:nvPicPr>
        <xdr:cNvPr id="0" name="image1.jp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952500</xdr:colOff>
      <xdr:row>1</xdr:row>
      <xdr:rowOff>123825</xdr:rowOff>
    </xdr:from>
    <xdr:ext cx="1076325" cy="476250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71"/>
    <col customWidth="1" min="2" max="2" width="5.43"/>
    <col customWidth="1" min="3" max="3" width="14.57"/>
    <col customWidth="1" min="4" max="4" width="1.29"/>
    <col customWidth="1" min="5" max="5" width="14.86"/>
    <col customWidth="1" min="6" max="6" width="47.86"/>
    <col customWidth="1" min="7" max="7" width="8.71"/>
    <col customWidth="1" min="8" max="8" width="2.57"/>
    <col customWidth="1" min="9" max="9" width="12.43"/>
    <col customWidth="1" min="11" max="11" width="11.86"/>
    <col customWidth="1" min="12" max="12" width="27.43"/>
    <col customWidth="1" min="13" max="13" width="12.29"/>
    <col customWidth="1" min="14" max="27" width="8.71"/>
  </cols>
  <sheetData>
    <row r="1" ht="21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59.25" customHeight="1">
      <c r="A2" s="1"/>
      <c r="B2" s="1" t="s">
        <v>0</v>
      </c>
    </row>
    <row r="3" ht="37.5" customHeight="1">
      <c r="A3" s="2"/>
      <c r="B3" s="2" t="s">
        <v>1</v>
      </c>
    </row>
    <row r="4" ht="16.5" customHeight="1">
      <c r="A4" s="3"/>
      <c r="B4" s="3" t="s">
        <v>2</v>
      </c>
    </row>
    <row r="5" ht="26.25" customHeight="1">
      <c r="A5" s="4"/>
      <c r="B5" s="4" t="s">
        <v>3</v>
      </c>
      <c r="T5" s="5"/>
    </row>
    <row r="6" ht="17.25" customHeight="1">
      <c r="A6" s="4"/>
      <c r="T6" s="5"/>
    </row>
    <row r="7" ht="16.5" customHeight="1">
      <c r="A7" s="6"/>
      <c r="B7" s="6" t="s">
        <v>4</v>
      </c>
      <c r="C7" s="7"/>
      <c r="D7" s="7"/>
      <c r="E7" s="8"/>
      <c r="F7" s="7"/>
      <c r="G7" s="7"/>
      <c r="H7" s="7"/>
      <c r="I7" s="9" t="s">
        <v>5</v>
      </c>
      <c r="K7" s="7"/>
      <c r="T7" s="5"/>
    </row>
    <row r="8" ht="16.5" customHeight="1">
      <c r="A8" s="7"/>
      <c r="B8" s="7" t="s">
        <v>6</v>
      </c>
      <c r="C8" s="7"/>
      <c r="D8" s="7"/>
      <c r="E8" s="8"/>
      <c r="F8" s="7"/>
      <c r="G8" s="7"/>
      <c r="H8" s="7"/>
      <c r="I8" s="7"/>
      <c r="J8" s="7"/>
      <c r="K8" s="7"/>
      <c r="T8" s="5"/>
    </row>
    <row r="9" ht="16.5" customHeight="1">
      <c r="A9" s="10"/>
      <c r="B9" s="10" t="s">
        <v>7</v>
      </c>
      <c r="C9" s="7"/>
      <c r="D9" s="7"/>
      <c r="E9" s="7"/>
      <c r="F9" s="7"/>
      <c r="G9" s="7"/>
      <c r="H9" s="7"/>
      <c r="I9" s="7"/>
      <c r="J9" s="7"/>
      <c r="K9" s="7"/>
      <c r="T9" s="5"/>
    </row>
    <row r="10" ht="16.5" customHeight="1">
      <c r="A10" s="9"/>
      <c r="B10" s="11" t="s">
        <v>8</v>
      </c>
      <c r="D10" s="7"/>
      <c r="E10" s="7"/>
      <c r="F10" s="7"/>
      <c r="G10" s="7"/>
      <c r="H10" s="7"/>
      <c r="I10" s="12"/>
      <c r="J10" s="7"/>
      <c r="K10" s="7"/>
      <c r="O10" s="13"/>
      <c r="T10" s="5"/>
    </row>
    <row r="11" ht="16.5" customHeight="1">
      <c r="A11" s="9"/>
      <c r="B11" s="14" t="s">
        <v>9</v>
      </c>
      <c r="C11" s="9"/>
      <c r="D11" s="7"/>
      <c r="E11" s="7"/>
      <c r="F11" s="7"/>
      <c r="G11" s="7"/>
      <c r="H11" s="7"/>
      <c r="I11" s="12"/>
      <c r="J11" s="7"/>
      <c r="K11" s="7"/>
      <c r="O11" s="13"/>
      <c r="T11" s="5"/>
    </row>
    <row r="12" ht="16.5" customHeight="1">
      <c r="A12" s="9"/>
      <c r="B12" s="9"/>
      <c r="C12" s="9"/>
      <c r="D12" s="7"/>
      <c r="E12" s="7"/>
      <c r="F12" s="7"/>
      <c r="G12" s="7"/>
      <c r="H12" s="7"/>
      <c r="I12" s="12"/>
      <c r="J12" s="7"/>
      <c r="K12" s="7"/>
      <c r="O12" s="13"/>
      <c r="T12" s="5"/>
    </row>
    <row r="13" ht="34.5" customHeight="1">
      <c r="A13" s="15"/>
      <c r="B13" s="15" t="s">
        <v>10</v>
      </c>
      <c r="K13" s="15"/>
      <c r="L13" s="16"/>
      <c r="M13" s="17"/>
      <c r="N13" s="16"/>
      <c r="O13" s="13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ht="16.5" customHeight="1">
      <c r="A14" s="18"/>
      <c r="B14" s="18"/>
    </row>
    <row r="15" ht="16.5" customHeight="1">
      <c r="A15" s="19"/>
      <c r="B15" s="19"/>
      <c r="C15" s="11" t="s">
        <v>11</v>
      </c>
      <c r="D15" s="5" t="s">
        <v>12</v>
      </c>
      <c r="E15" s="11" t="s">
        <v>13</v>
      </c>
      <c r="L15" s="20"/>
      <c r="M15" s="21"/>
    </row>
    <row r="16" ht="16.5" customHeight="1">
      <c r="A16" s="19"/>
      <c r="B16" s="19"/>
      <c r="C16" s="11" t="s">
        <v>14</v>
      </c>
      <c r="D16" s="5" t="s">
        <v>12</v>
      </c>
      <c r="E16" s="7" t="s">
        <v>15</v>
      </c>
    </row>
    <row r="17" ht="16.5" customHeight="1">
      <c r="A17" s="19"/>
      <c r="B17" s="19"/>
      <c r="C17" s="11" t="s">
        <v>16</v>
      </c>
      <c r="D17" s="5" t="s">
        <v>12</v>
      </c>
      <c r="E17" s="7" t="s">
        <v>17</v>
      </c>
    </row>
    <row r="18" ht="16.5" customHeight="1">
      <c r="A18" s="19"/>
      <c r="B18" s="19"/>
      <c r="C18" s="11" t="s">
        <v>18</v>
      </c>
      <c r="D18" s="5" t="s">
        <v>12</v>
      </c>
      <c r="E18" s="7" t="s">
        <v>19</v>
      </c>
    </row>
    <row r="19" ht="16.5" customHeight="1">
      <c r="A19" s="19"/>
      <c r="B19" s="19"/>
      <c r="C19" s="11" t="s">
        <v>20</v>
      </c>
      <c r="D19" s="5" t="s">
        <v>12</v>
      </c>
      <c r="E19" s="7" t="s">
        <v>21</v>
      </c>
    </row>
    <row r="20" ht="16.5" customHeight="1">
      <c r="A20" s="19"/>
      <c r="B20" s="19"/>
      <c r="C20" s="11" t="s">
        <v>22</v>
      </c>
      <c r="D20" s="5" t="s">
        <v>12</v>
      </c>
      <c r="E20" s="7" t="s">
        <v>23</v>
      </c>
    </row>
    <row r="21" ht="16.5" customHeight="1">
      <c r="A21" s="19"/>
      <c r="B21" s="19"/>
      <c r="C21" s="11"/>
      <c r="E21" s="7"/>
    </row>
    <row r="22" ht="16.5" customHeight="1">
      <c r="A22" s="3"/>
      <c r="B22" s="22" t="s">
        <v>24</v>
      </c>
      <c r="C22" s="23" t="s">
        <v>25</v>
      </c>
      <c r="D22" s="24"/>
      <c r="E22" s="24"/>
      <c r="F22" s="25"/>
      <c r="G22" s="23" t="s">
        <v>26</v>
      </c>
      <c r="H22" s="25"/>
      <c r="I22" s="26" t="s">
        <v>27</v>
      </c>
      <c r="J22" s="27" t="s">
        <v>28</v>
      </c>
    </row>
    <row r="23" ht="20.25" customHeight="1">
      <c r="A23" s="3"/>
      <c r="B23" s="28">
        <v>1.0</v>
      </c>
      <c r="C23" s="29"/>
      <c r="D23" s="30"/>
      <c r="E23" s="30"/>
      <c r="F23" s="31"/>
      <c r="G23" s="32"/>
      <c r="H23" s="33"/>
      <c r="I23" s="34"/>
      <c r="J23" s="35"/>
    </row>
    <row r="24" ht="20.25" customHeight="1">
      <c r="A24" s="3"/>
      <c r="B24" s="28">
        <v>2.0</v>
      </c>
      <c r="C24" s="36"/>
      <c r="D24" s="37"/>
      <c r="E24" s="37"/>
      <c r="F24" s="37"/>
      <c r="G24" s="32"/>
      <c r="H24" s="33"/>
      <c r="I24" s="34"/>
      <c r="J24" s="35"/>
    </row>
    <row r="25" ht="20.25" customHeight="1">
      <c r="A25" s="3"/>
      <c r="B25" s="28">
        <v>4.0</v>
      </c>
      <c r="C25" s="36"/>
      <c r="D25" s="37"/>
      <c r="E25" s="37"/>
      <c r="F25" s="37"/>
      <c r="G25" s="32"/>
      <c r="H25" s="33"/>
      <c r="I25" s="34"/>
      <c r="J25" s="35"/>
    </row>
    <row r="26" ht="20.25" customHeight="1">
      <c r="A26" s="3"/>
      <c r="B26" s="28">
        <v>5.0</v>
      </c>
      <c r="C26" s="36"/>
      <c r="D26" s="37"/>
      <c r="E26" s="37"/>
      <c r="F26" s="37"/>
      <c r="G26" s="32"/>
      <c r="H26" s="33"/>
      <c r="I26" s="34"/>
      <c r="J26" s="35"/>
    </row>
    <row r="27" ht="20.25" customHeight="1">
      <c r="A27" s="3"/>
      <c r="B27" s="28">
        <v>6.0</v>
      </c>
      <c r="C27" s="36"/>
      <c r="D27" s="37"/>
      <c r="E27" s="37"/>
      <c r="F27" s="37"/>
      <c r="G27" s="32"/>
      <c r="H27" s="33"/>
      <c r="I27" s="34"/>
      <c r="J27" s="35"/>
    </row>
    <row r="28" ht="20.25" customHeight="1">
      <c r="A28" s="3"/>
      <c r="B28" s="28">
        <v>7.0</v>
      </c>
      <c r="C28" s="36"/>
      <c r="D28" s="37"/>
      <c r="E28" s="37"/>
      <c r="F28" s="37"/>
      <c r="G28" s="32"/>
      <c r="H28" s="33"/>
      <c r="I28" s="34"/>
      <c r="J28" s="35"/>
    </row>
    <row r="29" ht="20.25" customHeight="1">
      <c r="A29" s="3"/>
      <c r="B29" s="28">
        <v>8.0</v>
      </c>
      <c r="C29" s="29" t="s">
        <v>29</v>
      </c>
      <c r="D29" s="30"/>
      <c r="E29" s="30"/>
      <c r="F29" s="31"/>
      <c r="G29" s="32">
        <f>G30/30</f>
        <v>0</v>
      </c>
      <c r="H29" s="33"/>
      <c r="I29" s="34">
        <v>100.0</v>
      </c>
      <c r="J29" s="35">
        <f>G29*I29</f>
        <v>0</v>
      </c>
    </row>
    <row r="30" ht="16.5" customHeight="1">
      <c r="A30" s="8"/>
      <c r="B30" s="38" t="s">
        <v>30</v>
      </c>
      <c r="C30" s="39"/>
      <c r="D30" s="39"/>
      <c r="E30" s="39"/>
      <c r="F30" s="39"/>
      <c r="G30" s="39">
        <f>SUM(G23:H28)</f>
        <v>0</v>
      </c>
      <c r="H30" s="39" t="s">
        <v>31</v>
      </c>
      <c r="I30" s="40"/>
      <c r="J30" s="41">
        <f>sum(J23:J29)</f>
        <v>0</v>
      </c>
    </row>
    <row r="31" ht="28.5" customHeight="1">
      <c r="A31" s="42"/>
      <c r="B31" s="42" t="s">
        <v>32</v>
      </c>
      <c r="C31" s="7"/>
      <c r="D31" s="7"/>
      <c r="E31" s="7"/>
      <c r="F31" s="7"/>
      <c r="G31" s="7"/>
      <c r="H31" s="7"/>
      <c r="I31" s="7"/>
    </row>
    <row r="32" ht="16.5" customHeight="1">
      <c r="A32" s="7"/>
      <c r="B32" s="7"/>
      <c r="F32" s="7"/>
    </row>
    <row r="33" ht="16.5" customHeight="1">
      <c r="A33" s="43"/>
      <c r="B33" s="43" t="s">
        <v>33</v>
      </c>
      <c r="C33" s="7"/>
      <c r="D33" s="7"/>
      <c r="F33" s="7"/>
    </row>
    <row r="34" ht="7.5" customHeight="1">
      <c r="M34" s="8"/>
      <c r="N34" s="8"/>
      <c r="O34" s="7"/>
    </row>
    <row r="35" ht="16.5" customHeight="1">
      <c r="A35" s="8"/>
      <c r="B35" s="44" t="s">
        <v>34</v>
      </c>
      <c r="C35" s="45"/>
      <c r="D35" s="5" t="s">
        <v>12</v>
      </c>
      <c r="E35" s="7" t="s">
        <v>35</v>
      </c>
      <c r="G35" s="45"/>
      <c r="L35" s="46"/>
      <c r="M35" s="8"/>
      <c r="N35" s="8"/>
      <c r="O35" s="7"/>
    </row>
    <row r="36" ht="16.5" customHeight="1">
      <c r="A36" s="8"/>
      <c r="B36" s="44" t="s">
        <v>36</v>
      </c>
      <c r="D36" s="5" t="s">
        <v>12</v>
      </c>
      <c r="E36" s="7" t="s">
        <v>35</v>
      </c>
      <c r="M36" s="8"/>
      <c r="N36" s="8"/>
      <c r="O36" s="7"/>
    </row>
    <row r="37" ht="16.5" customHeight="1">
      <c r="E37" s="7" t="s">
        <v>37</v>
      </c>
      <c r="M37" s="8"/>
      <c r="N37" s="8"/>
      <c r="O37" s="7"/>
    </row>
    <row r="38" ht="16.5" customHeight="1">
      <c r="M38" s="8"/>
      <c r="N38" s="45"/>
      <c r="P38" s="7"/>
      <c r="Q38" s="7"/>
    </row>
    <row r="39" ht="16.5" customHeight="1">
      <c r="A39" s="45"/>
      <c r="B39" s="45"/>
      <c r="C39" s="45"/>
      <c r="P39" s="7"/>
      <c r="Q39" s="7"/>
    </row>
    <row r="40" ht="16.5" customHeight="1">
      <c r="P40" s="7"/>
    </row>
    <row r="41" ht="16.5" customHeight="1">
      <c r="A41" s="7"/>
      <c r="B41" s="7"/>
      <c r="E41" s="7"/>
      <c r="G41" s="45"/>
    </row>
    <row r="42" ht="16.5" customHeight="1">
      <c r="A42" s="7"/>
      <c r="B42" s="7"/>
      <c r="E42" s="7"/>
      <c r="G42" s="45"/>
      <c r="Q42" s="5"/>
      <c r="S42" s="5"/>
    </row>
    <row r="43" ht="16.5" customHeight="1">
      <c r="Q43" s="5"/>
      <c r="S43" s="5"/>
    </row>
    <row r="44" ht="16.5" customHeight="1">
      <c r="F44" s="47" t="s">
        <v>38</v>
      </c>
      <c r="H44" s="36"/>
      <c r="I44" s="36"/>
      <c r="J44" s="36"/>
      <c r="Q44" s="5"/>
      <c r="S44" s="5"/>
    </row>
    <row r="45" ht="16.5" customHeight="1">
      <c r="I45" s="20"/>
      <c r="J45" s="48"/>
      <c r="K45" s="48"/>
      <c r="S45" s="5"/>
    </row>
    <row r="46" ht="16.5" customHeight="1">
      <c r="S46" s="5"/>
    </row>
    <row r="47" ht="16.5" customHeight="1">
      <c r="C47" s="49"/>
      <c r="D47" s="49"/>
      <c r="E47" s="49"/>
      <c r="F47" s="49"/>
      <c r="G47" s="49"/>
      <c r="H47" s="49"/>
      <c r="I47" s="49"/>
      <c r="J47" s="49"/>
      <c r="K47" s="49"/>
      <c r="S47" s="5"/>
    </row>
    <row r="48" ht="16.5" customHeight="1">
      <c r="A48" s="50"/>
      <c r="B48" s="50"/>
      <c r="C48" s="49"/>
      <c r="D48" s="49"/>
      <c r="E48" s="49"/>
      <c r="F48" s="49"/>
      <c r="G48" s="49"/>
      <c r="H48" s="49"/>
      <c r="I48" s="49"/>
      <c r="J48" s="49"/>
      <c r="K48" s="49"/>
      <c r="S48" s="5"/>
    </row>
    <row r="49" ht="16.5" customHeight="1">
      <c r="A49" s="50"/>
      <c r="B49" s="50"/>
      <c r="C49" s="51"/>
      <c r="D49" s="52"/>
      <c r="E49" s="53"/>
      <c r="F49" s="53"/>
      <c r="G49" s="53"/>
      <c r="H49" s="51"/>
      <c r="I49" s="51"/>
      <c r="J49" s="51"/>
      <c r="K49" s="54"/>
      <c r="S49" s="5"/>
    </row>
    <row r="50" ht="16.5" customHeight="1">
      <c r="A50" s="55"/>
      <c r="B50" s="55"/>
      <c r="C50" s="51"/>
      <c r="D50" s="51"/>
      <c r="K50" s="56"/>
      <c r="S50" s="5"/>
    </row>
    <row r="51" ht="16.5" customHeight="1">
      <c r="A51" s="57"/>
      <c r="B51" s="57"/>
      <c r="C51" s="51"/>
      <c r="D51" s="51"/>
      <c r="K51" s="56"/>
      <c r="S51" s="5"/>
    </row>
    <row r="52" ht="16.5" customHeight="1">
      <c r="C52" s="51"/>
      <c r="D52" s="51"/>
      <c r="E52" s="51"/>
      <c r="F52" s="51"/>
      <c r="G52" s="51"/>
      <c r="H52" s="51"/>
      <c r="I52" s="51"/>
      <c r="J52" s="51"/>
      <c r="K52" s="56"/>
      <c r="S52" s="5"/>
    </row>
    <row r="53" ht="16.5" customHeight="1">
      <c r="C53" s="51"/>
      <c r="D53" s="51"/>
      <c r="E53" s="51"/>
      <c r="F53" s="51"/>
      <c r="G53" s="51"/>
      <c r="H53" s="51"/>
      <c r="I53" s="51"/>
      <c r="J53" s="51"/>
      <c r="K53" s="56"/>
      <c r="S53" s="5"/>
    </row>
    <row r="54" ht="16.5" customHeight="1">
      <c r="C54" s="51"/>
      <c r="D54" s="51"/>
      <c r="E54" s="51"/>
      <c r="F54" s="51"/>
      <c r="G54" s="51"/>
      <c r="H54" s="51"/>
      <c r="I54" s="51"/>
      <c r="J54" s="51"/>
      <c r="K54" s="56"/>
      <c r="S54" s="5"/>
    </row>
    <row r="55" ht="16.5" customHeight="1">
      <c r="C55" s="51"/>
      <c r="D55" s="51"/>
      <c r="E55" s="51"/>
      <c r="F55" s="51"/>
      <c r="G55" s="51"/>
      <c r="H55" s="51"/>
      <c r="I55" s="51"/>
      <c r="J55" s="51"/>
      <c r="K55" s="56"/>
      <c r="S55" s="5"/>
    </row>
    <row r="56" ht="16.5" customHeight="1">
      <c r="C56" s="51"/>
      <c r="D56" s="51"/>
      <c r="E56" s="51"/>
      <c r="F56" s="51"/>
      <c r="G56" s="51"/>
      <c r="H56" s="51"/>
      <c r="I56" s="51"/>
      <c r="J56" s="51"/>
      <c r="K56" s="56"/>
    </row>
    <row r="57" ht="16.5" customHeight="1">
      <c r="C57" s="51"/>
      <c r="D57" s="51"/>
      <c r="H57" s="51"/>
      <c r="I57" s="51"/>
      <c r="J57" s="51"/>
      <c r="K57" s="56"/>
    </row>
    <row r="58" ht="16.5" customHeight="1">
      <c r="C58" s="51"/>
      <c r="D58" s="51"/>
      <c r="E58" s="51"/>
      <c r="F58" s="51"/>
      <c r="G58" s="51"/>
      <c r="H58" s="51"/>
      <c r="I58" s="51"/>
      <c r="J58" s="51"/>
      <c r="K58" s="56"/>
    </row>
    <row r="59" ht="16.5" customHeight="1">
      <c r="C59" s="51"/>
      <c r="D59" s="51"/>
      <c r="E59" s="51"/>
      <c r="F59" s="51"/>
      <c r="G59" s="51"/>
      <c r="H59" s="51"/>
      <c r="I59" s="51"/>
      <c r="J59" s="51"/>
      <c r="K59" s="56"/>
    </row>
    <row r="60" ht="16.5" customHeight="1">
      <c r="C60" s="51"/>
      <c r="D60" s="51"/>
      <c r="E60" s="51"/>
      <c r="F60" s="51"/>
      <c r="G60" s="51"/>
      <c r="H60" s="51"/>
      <c r="I60" s="51"/>
      <c r="J60" s="51"/>
      <c r="K60" s="56"/>
    </row>
    <row r="61" ht="16.5" customHeight="1">
      <c r="C61" s="51"/>
      <c r="D61" s="51"/>
      <c r="E61" s="51"/>
      <c r="F61" s="51"/>
      <c r="G61" s="51"/>
      <c r="H61" s="51"/>
      <c r="I61" s="51"/>
      <c r="J61" s="51"/>
      <c r="K61" s="56"/>
    </row>
    <row r="62" ht="16.5" customHeight="1">
      <c r="C62" s="51"/>
      <c r="D62" s="51"/>
      <c r="E62" s="51"/>
      <c r="F62" s="51"/>
      <c r="G62" s="51"/>
      <c r="H62" s="51"/>
      <c r="I62" s="51"/>
      <c r="J62" s="51"/>
      <c r="K62" s="56"/>
    </row>
    <row r="63" ht="16.5" customHeight="1">
      <c r="C63" s="51"/>
      <c r="D63" s="51"/>
      <c r="E63" s="51"/>
      <c r="F63" s="51"/>
      <c r="G63" s="51"/>
      <c r="H63" s="51"/>
      <c r="I63" s="51"/>
      <c r="J63" s="51"/>
      <c r="K63" s="56"/>
    </row>
    <row r="64" ht="16.5" customHeight="1">
      <c r="C64" s="51"/>
      <c r="D64" s="51"/>
      <c r="E64" s="51"/>
      <c r="F64" s="51"/>
      <c r="G64" s="51"/>
      <c r="H64" s="51"/>
      <c r="I64" s="51"/>
      <c r="J64" s="51"/>
      <c r="K64" s="56"/>
    </row>
    <row r="65" ht="16.5" customHeight="1">
      <c r="C65" s="51"/>
      <c r="D65" s="51"/>
      <c r="E65" s="51"/>
      <c r="F65" s="51"/>
      <c r="G65" s="51"/>
      <c r="H65" s="51"/>
      <c r="I65" s="51"/>
      <c r="J65" s="51"/>
      <c r="K65" s="56"/>
    </row>
    <row r="66" ht="16.5" customHeight="1">
      <c r="C66" s="51"/>
      <c r="D66" s="51"/>
      <c r="E66" s="51"/>
      <c r="F66" s="51"/>
      <c r="G66" s="51"/>
      <c r="H66" s="51"/>
      <c r="I66" s="51"/>
      <c r="J66" s="51"/>
      <c r="K66" s="56"/>
    </row>
    <row r="67" ht="16.5" customHeight="1">
      <c r="C67" s="51"/>
      <c r="D67" s="51"/>
      <c r="E67" s="51"/>
      <c r="F67" s="51"/>
      <c r="G67" s="51"/>
      <c r="H67" s="51"/>
      <c r="I67" s="51"/>
      <c r="J67" s="51"/>
      <c r="K67" s="56"/>
    </row>
    <row r="68" ht="16.5" customHeight="1">
      <c r="C68" s="51"/>
      <c r="D68" s="51"/>
      <c r="E68" s="51"/>
      <c r="F68" s="51"/>
      <c r="G68" s="51"/>
      <c r="H68" s="51"/>
      <c r="I68" s="51"/>
      <c r="J68" s="51"/>
      <c r="K68" s="56"/>
    </row>
    <row r="69" ht="16.5" customHeight="1">
      <c r="C69" s="51"/>
      <c r="D69" s="51"/>
      <c r="E69" s="51"/>
      <c r="F69" s="51"/>
      <c r="G69" s="51"/>
      <c r="H69" s="51"/>
      <c r="I69" s="51"/>
      <c r="J69" s="51"/>
      <c r="K69" s="56"/>
    </row>
    <row r="70" ht="16.5" customHeight="1">
      <c r="C70" s="51"/>
      <c r="D70" s="51"/>
      <c r="E70" s="51"/>
      <c r="F70" s="51"/>
      <c r="G70" s="51"/>
      <c r="H70" s="51"/>
      <c r="I70" s="51"/>
      <c r="J70" s="51"/>
      <c r="K70" s="56"/>
    </row>
    <row r="71" ht="16.5" customHeight="1">
      <c r="C71" s="51"/>
      <c r="D71" s="51"/>
      <c r="E71" s="51"/>
      <c r="F71" s="51"/>
      <c r="G71" s="51"/>
      <c r="H71" s="51"/>
      <c r="I71" s="51"/>
      <c r="J71" s="51"/>
      <c r="K71" s="56"/>
    </row>
    <row r="72" ht="16.5" customHeight="1">
      <c r="C72" s="51"/>
      <c r="D72" s="51"/>
      <c r="E72" s="51"/>
      <c r="F72" s="51"/>
      <c r="G72" s="51"/>
      <c r="H72" s="51"/>
      <c r="I72" s="51"/>
      <c r="J72" s="51"/>
      <c r="K72" s="56"/>
    </row>
    <row r="73" ht="16.5" customHeight="1">
      <c r="C73" s="51"/>
      <c r="D73" s="51"/>
      <c r="E73" s="51"/>
      <c r="F73" s="51"/>
      <c r="G73" s="51"/>
      <c r="H73" s="51"/>
      <c r="I73" s="51"/>
      <c r="J73" s="51"/>
      <c r="K73" s="56"/>
    </row>
    <row r="74" ht="16.5" customHeight="1">
      <c r="C74" s="51"/>
      <c r="D74" s="51"/>
      <c r="E74" s="51"/>
      <c r="F74" s="51"/>
      <c r="G74" s="51"/>
      <c r="H74" s="51"/>
      <c r="I74" s="51"/>
      <c r="J74" s="51"/>
      <c r="K74" s="56"/>
    </row>
    <row r="75" ht="16.5" customHeight="1">
      <c r="C75" s="51"/>
      <c r="D75" s="51"/>
      <c r="E75" s="51"/>
      <c r="F75" s="51"/>
      <c r="G75" s="51"/>
      <c r="H75" s="51"/>
      <c r="I75" s="51"/>
      <c r="J75" s="51"/>
      <c r="K75" s="56"/>
    </row>
    <row r="76" ht="16.5" customHeight="1">
      <c r="C76" s="51"/>
      <c r="D76" s="51"/>
      <c r="E76" s="51"/>
      <c r="F76" s="51"/>
      <c r="G76" s="51"/>
      <c r="H76" s="51"/>
      <c r="I76" s="51"/>
      <c r="J76" s="51"/>
      <c r="K76" s="56"/>
    </row>
    <row r="77" ht="16.5" customHeight="1">
      <c r="C77" s="51"/>
      <c r="D77" s="51"/>
      <c r="E77" s="51"/>
      <c r="F77" s="51"/>
      <c r="G77" s="51"/>
      <c r="H77" s="51"/>
      <c r="I77" s="51"/>
      <c r="J77" s="51"/>
      <c r="K77" s="54"/>
    </row>
    <row r="78" ht="16.5" customHeight="1">
      <c r="C78" s="51"/>
      <c r="D78" s="51"/>
      <c r="E78" s="51"/>
      <c r="F78" s="51"/>
      <c r="G78" s="51"/>
      <c r="H78" s="51"/>
      <c r="I78" s="51"/>
      <c r="J78" s="51"/>
      <c r="K78" s="54"/>
    </row>
    <row r="79" ht="16.5" customHeight="1">
      <c r="C79" s="51"/>
      <c r="D79" s="51"/>
      <c r="E79" s="51"/>
      <c r="F79" s="51"/>
      <c r="G79" s="51"/>
      <c r="H79" s="51"/>
      <c r="I79" s="51"/>
      <c r="J79" s="51"/>
      <c r="K79" s="54"/>
    </row>
    <row r="80" ht="16.5" customHeight="1">
      <c r="C80" s="51"/>
      <c r="D80" s="51"/>
      <c r="E80" s="51"/>
      <c r="F80" s="51"/>
      <c r="G80" s="51"/>
      <c r="H80" s="51"/>
      <c r="I80" s="51"/>
      <c r="J80" s="51"/>
      <c r="K80" s="56"/>
    </row>
    <row r="81" ht="16.5" customHeight="1">
      <c r="C81" s="51"/>
      <c r="D81" s="51"/>
      <c r="E81" s="51"/>
      <c r="F81" s="51"/>
      <c r="G81" s="51"/>
      <c r="H81" s="51"/>
      <c r="I81" s="51"/>
      <c r="J81" s="51"/>
      <c r="K81" s="56"/>
    </row>
    <row r="82" ht="16.5" customHeight="1">
      <c r="C82" s="51"/>
      <c r="D82" s="51"/>
      <c r="E82" s="51"/>
      <c r="F82" s="51"/>
      <c r="G82" s="51"/>
      <c r="H82" s="51"/>
      <c r="I82" s="51"/>
      <c r="J82" s="51"/>
      <c r="K82" s="56"/>
    </row>
    <row r="83" ht="16.5" customHeight="1">
      <c r="C83" s="51"/>
      <c r="D83" s="51"/>
      <c r="E83" s="51"/>
      <c r="F83" s="51"/>
      <c r="G83" s="51"/>
      <c r="H83" s="51"/>
      <c r="I83" s="51"/>
      <c r="J83" s="51"/>
      <c r="K83" s="56"/>
    </row>
    <row r="84" ht="16.5" customHeight="1">
      <c r="C84" s="51"/>
      <c r="D84" s="51"/>
      <c r="E84" s="51"/>
      <c r="F84" s="51"/>
      <c r="G84" s="51"/>
      <c r="H84" s="51"/>
      <c r="I84" s="51"/>
      <c r="J84" s="51"/>
      <c r="K84" s="56"/>
    </row>
    <row r="85" ht="16.5" customHeight="1">
      <c r="C85" s="51"/>
      <c r="D85" s="51"/>
      <c r="E85" s="51"/>
      <c r="F85" s="51"/>
      <c r="G85" s="51"/>
      <c r="H85" s="51"/>
      <c r="I85" s="51"/>
      <c r="J85" s="51"/>
      <c r="K85" s="54"/>
    </row>
    <row r="86" ht="16.5" customHeight="1">
      <c r="C86" s="51"/>
      <c r="D86" s="51"/>
      <c r="E86" s="51"/>
      <c r="F86" s="51"/>
      <c r="G86" s="51"/>
      <c r="H86" s="51"/>
      <c r="I86" s="51"/>
      <c r="J86" s="51"/>
      <c r="K86" s="54"/>
    </row>
    <row r="87" ht="16.5" customHeight="1">
      <c r="C87" s="51"/>
      <c r="D87" s="51"/>
      <c r="E87" s="51"/>
      <c r="F87" s="51"/>
      <c r="G87" s="51"/>
      <c r="H87" s="51"/>
      <c r="I87" s="51"/>
      <c r="J87" s="51"/>
      <c r="K87" s="54"/>
    </row>
    <row r="88" ht="16.5" customHeight="1">
      <c r="C88" s="51"/>
      <c r="D88" s="51"/>
      <c r="E88" s="51"/>
      <c r="F88" s="51"/>
      <c r="G88" s="51"/>
      <c r="H88" s="51"/>
      <c r="I88" s="51"/>
      <c r="J88" s="51"/>
      <c r="K88" s="54"/>
    </row>
    <row r="89" ht="16.5" customHeight="1">
      <c r="C89" s="51"/>
      <c r="D89" s="51"/>
      <c r="E89" s="51"/>
      <c r="F89" s="51"/>
      <c r="G89" s="51"/>
      <c r="H89" s="51"/>
      <c r="I89" s="51"/>
      <c r="J89" s="51"/>
      <c r="K89" s="54"/>
    </row>
    <row r="90" ht="16.5" customHeight="1">
      <c r="C90" s="51"/>
      <c r="D90" s="51"/>
      <c r="E90" s="51"/>
      <c r="F90" s="51"/>
      <c r="G90" s="51"/>
      <c r="H90" s="51"/>
      <c r="I90" s="51"/>
      <c r="J90" s="51"/>
      <c r="K90" s="54"/>
    </row>
    <row r="91" ht="16.5" customHeight="1">
      <c r="C91" s="51"/>
      <c r="D91" s="51"/>
      <c r="E91" s="51"/>
      <c r="F91" s="51"/>
      <c r="G91" s="51"/>
      <c r="H91" s="51"/>
      <c r="I91" s="51"/>
      <c r="J91" s="51"/>
      <c r="K91" s="54"/>
    </row>
    <row r="92" ht="16.5" customHeight="1">
      <c r="C92" s="51"/>
      <c r="D92" s="51"/>
      <c r="E92" s="51"/>
      <c r="F92" s="51"/>
      <c r="G92" s="51"/>
      <c r="H92" s="51"/>
      <c r="I92" s="51"/>
      <c r="J92" s="51"/>
      <c r="K92" s="54"/>
    </row>
    <row r="93" ht="16.5" customHeight="1">
      <c r="C93" s="51"/>
      <c r="D93" s="51"/>
      <c r="E93" s="51"/>
      <c r="F93" s="51"/>
      <c r="G93" s="51"/>
      <c r="H93" s="51"/>
      <c r="I93" s="51"/>
      <c r="J93" s="51"/>
      <c r="K93" s="54"/>
    </row>
    <row r="94" ht="16.5" customHeight="1">
      <c r="C94" s="51"/>
      <c r="D94" s="51"/>
      <c r="E94" s="51"/>
      <c r="F94" s="51"/>
      <c r="G94" s="51"/>
      <c r="H94" s="51"/>
      <c r="I94" s="51"/>
      <c r="J94" s="51"/>
      <c r="K94" s="54"/>
    </row>
    <row r="95" ht="16.5" customHeight="1">
      <c r="C95" s="51"/>
      <c r="D95" s="51"/>
      <c r="E95" s="51"/>
      <c r="F95" s="51"/>
      <c r="G95" s="51"/>
      <c r="H95" s="51"/>
      <c r="I95" s="51"/>
      <c r="J95" s="51"/>
      <c r="K95" s="54"/>
    </row>
    <row r="96" ht="16.5" customHeight="1">
      <c r="C96" s="51"/>
      <c r="D96" s="51"/>
      <c r="E96" s="51"/>
      <c r="F96" s="51"/>
      <c r="G96" s="51"/>
      <c r="H96" s="51"/>
      <c r="I96" s="51"/>
      <c r="J96" s="51"/>
      <c r="K96" s="54"/>
    </row>
    <row r="97" ht="16.5" customHeight="1">
      <c r="C97" s="51"/>
      <c r="D97" s="51"/>
      <c r="E97" s="51"/>
      <c r="F97" s="51"/>
      <c r="G97" s="51"/>
      <c r="H97" s="51"/>
      <c r="I97" s="51"/>
      <c r="J97" s="51"/>
      <c r="K97" s="54"/>
    </row>
    <row r="98" ht="16.5" customHeight="1">
      <c r="C98" s="51"/>
      <c r="D98" s="51"/>
      <c r="E98" s="51"/>
      <c r="F98" s="51"/>
      <c r="G98" s="51"/>
      <c r="H98" s="51"/>
      <c r="I98" s="51"/>
      <c r="J98" s="51"/>
      <c r="K98" s="54"/>
    </row>
    <row r="99" ht="16.5" customHeight="1">
      <c r="C99" s="49"/>
      <c r="D99" s="49"/>
      <c r="E99" s="49"/>
      <c r="F99" s="49"/>
      <c r="G99" s="49"/>
      <c r="H99" s="49"/>
      <c r="I99" s="49"/>
      <c r="J99" s="49"/>
      <c r="K99" s="49"/>
    </row>
    <row r="100" ht="16.5" customHeight="1">
      <c r="C100" s="49"/>
      <c r="D100" s="49"/>
      <c r="E100" s="49"/>
      <c r="F100" s="49"/>
      <c r="G100" s="49"/>
      <c r="H100" s="49"/>
      <c r="I100" s="49"/>
      <c r="J100" s="49"/>
      <c r="K100" s="49"/>
    </row>
    <row r="101" ht="16.5" customHeight="1">
      <c r="C101" s="49"/>
      <c r="D101" s="49"/>
      <c r="E101" s="49"/>
      <c r="F101" s="49"/>
      <c r="G101" s="49"/>
      <c r="H101" s="49"/>
      <c r="I101" s="49"/>
      <c r="J101" s="49"/>
      <c r="K101" s="49"/>
    </row>
    <row r="102" ht="16.5" customHeight="1">
      <c r="C102" s="49"/>
      <c r="D102" s="49"/>
      <c r="E102" s="49"/>
      <c r="F102" s="49"/>
      <c r="G102" s="49"/>
      <c r="H102" s="49"/>
      <c r="I102" s="49"/>
      <c r="J102" s="49"/>
      <c r="K102" s="49"/>
    </row>
    <row r="103" ht="16.5" customHeight="1">
      <c r="C103" s="49"/>
      <c r="D103" s="49"/>
      <c r="E103" s="49"/>
      <c r="F103" s="49"/>
      <c r="G103" s="49"/>
      <c r="H103" s="49"/>
      <c r="I103" s="49"/>
      <c r="J103" s="49"/>
      <c r="K103" s="49"/>
    </row>
    <row r="104" ht="16.5" customHeight="1">
      <c r="C104" s="49"/>
      <c r="D104" s="49"/>
      <c r="E104" s="49"/>
      <c r="F104" s="49"/>
      <c r="G104" s="49"/>
      <c r="H104" s="49"/>
      <c r="I104" s="49"/>
      <c r="J104" s="49"/>
      <c r="K104" s="49"/>
    </row>
    <row r="105" ht="16.5" customHeight="1">
      <c r="C105" s="49"/>
      <c r="D105" s="49"/>
      <c r="E105" s="49"/>
      <c r="F105" s="49"/>
      <c r="G105" s="49"/>
      <c r="H105" s="49"/>
      <c r="I105" s="49"/>
      <c r="J105" s="49"/>
      <c r="K105" s="49"/>
    </row>
    <row r="106" ht="16.5" customHeight="1">
      <c r="C106" s="49"/>
      <c r="D106" s="49"/>
      <c r="E106" s="49"/>
      <c r="F106" s="49"/>
      <c r="G106" s="49"/>
      <c r="H106" s="49"/>
      <c r="I106" s="49"/>
      <c r="J106" s="49"/>
      <c r="K106" s="49"/>
    </row>
    <row r="107" ht="16.5" customHeight="1">
      <c r="C107" s="49"/>
      <c r="D107" s="49"/>
      <c r="E107" s="49"/>
      <c r="F107" s="49"/>
      <c r="G107" s="49"/>
      <c r="H107" s="49"/>
      <c r="I107" s="49"/>
      <c r="J107" s="49"/>
      <c r="K107" s="49"/>
    </row>
    <row r="108" ht="16.5" customHeight="1">
      <c r="C108" s="49"/>
      <c r="D108" s="49"/>
      <c r="E108" s="49"/>
      <c r="F108" s="49"/>
      <c r="G108" s="49"/>
      <c r="H108" s="49"/>
      <c r="I108" s="49"/>
      <c r="J108" s="49"/>
      <c r="K108" s="49"/>
    </row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</sheetData>
  <mergeCells count="28">
    <mergeCell ref="B2:K2"/>
    <mergeCell ref="B3:K3"/>
    <mergeCell ref="B4:K4"/>
    <mergeCell ref="B5:K6"/>
    <mergeCell ref="I7:J7"/>
    <mergeCell ref="B10:C10"/>
    <mergeCell ref="B13:J13"/>
    <mergeCell ref="M20:Q23"/>
    <mergeCell ref="C22:F22"/>
    <mergeCell ref="G22:H22"/>
    <mergeCell ref="C23:F23"/>
    <mergeCell ref="G23:H23"/>
    <mergeCell ref="C24:F24"/>
    <mergeCell ref="G24:H24"/>
    <mergeCell ref="C28:F28"/>
    <mergeCell ref="C29:F29"/>
    <mergeCell ref="G29:H29"/>
    <mergeCell ref="F44:G44"/>
    <mergeCell ref="D50:J50"/>
    <mergeCell ref="D51:J51"/>
    <mergeCell ref="D57:G57"/>
    <mergeCell ref="C25:F25"/>
    <mergeCell ref="G25:H25"/>
    <mergeCell ref="C26:F26"/>
    <mergeCell ref="G26:H26"/>
    <mergeCell ref="C27:F27"/>
    <mergeCell ref="G27:H27"/>
    <mergeCell ref="G28:H28"/>
  </mergeCells>
  <printOptions horizontalCentered="1"/>
  <pageMargins bottom="0.25439127801332534" footer="0.0" header="0.0" left="0.49251968503937005" right="0.25" top="0.5454767701255973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57"/>
    <col customWidth="1" min="2" max="2" width="35.0"/>
    <col customWidth="1" min="3" max="3" width="76.0"/>
  </cols>
  <sheetData>
    <row r="1" ht="61.5" customHeight="1">
      <c r="A1" s="58" t="s">
        <v>39</v>
      </c>
      <c r="B1" s="59" t="s">
        <v>40</v>
      </c>
      <c r="C1" s="60" t="s">
        <v>41</v>
      </c>
    </row>
    <row r="2" ht="61.5" customHeight="1">
      <c r="A2" s="61" t="s">
        <v>42</v>
      </c>
      <c r="B2" s="62"/>
      <c r="C2" s="63"/>
    </row>
    <row r="3">
      <c r="A3" s="64" t="s">
        <v>43</v>
      </c>
      <c r="B3" s="65" t="s">
        <v>44</v>
      </c>
      <c r="C3" s="66" t="s">
        <v>45</v>
      </c>
    </row>
    <row r="4">
      <c r="A4" s="67" t="s">
        <v>44</v>
      </c>
      <c r="B4" s="68" t="s">
        <v>44</v>
      </c>
      <c r="C4" s="69" t="s">
        <v>45</v>
      </c>
    </row>
    <row r="5">
      <c r="A5" s="67" t="s">
        <v>46</v>
      </c>
      <c r="B5" s="68" t="s">
        <v>44</v>
      </c>
      <c r="C5" s="69" t="s">
        <v>45</v>
      </c>
    </row>
    <row r="6">
      <c r="A6" s="70" t="s">
        <v>47</v>
      </c>
      <c r="B6" s="71" t="s">
        <v>48</v>
      </c>
      <c r="C6" s="72" t="s">
        <v>49</v>
      </c>
    </row>
    <row r="7">
      <c r="A7" s="67" t="s">
        <v>48</v>
      </c>
      <c r="B7" s="68" t="s">
        <v>48</v>
      </c>
      <c r="C7" s="69" t="s">
        <v>49</v>
      </c>
    </row>
    <row r="8">
      <c r="A8" s="73" t="s">
        <v>50</v>
      </c>
      <c r="B8" s="71" t="s">
        <v>51</v>
      </c>
      <c r="C8" s="72" t="s">
        <v>52</v>
      </c>
    </row>
    <row r="9">
      <c r="A9" s="67" t="s">
        <v>51</v>
      </c>
      <c r="B9" s="68" t="s">
        <v>51</v>
      </c>
      <c r="C9" s="69" t="s">
        <v>52</v>
      </c>
    </row>
    <row r="10">
      <c r="A10" s="67" t="s">
        <v>53</v>
      </c>
      <c r="B10" s="68" t="s">
        <v>51</v>
      </c>
      <c r="C10" s="69" t="s">
        <v>52</v>
      </c>
    </row>
    <row r="11">
      <c r="A11" s="67" t="s">
        <v>54</v>
      </c>
      <c r="B11" s="68" t="s">
        <v>51</v>
      </c>
      <c r="C11" s="69" t="s">
        <v>52</v>
      </c>
    </row>
    <row r="12">
      <c r="A12" s="73" t="s">
        <v>55</v>
      </c>
      <c r="B12" s="71" t="s">
        <v>56</v>
      </c>
      <c r="C12" s="72" t="s">
        <v>57</v>
      </c>
    </row>
    <row r="13">
      <c r="A13" s="67" t="s">
        <v>56</v>
      </c>
      <c r="B13" s="68" t="s">
        <v>56</v>
      </c>
      <c r="C13" s="69" t="s">
        <v>57</v>
      </c>
    </row>
    <row r="14">
      <c r="A14" s="67" t="s">
        <v>58</v>
      </c>
      <c r="B14" s="68" t="s">
        <v>56</v>
      </c>
      <c r="C14" s="69" t="s">
        <v>57</v>
      </c>
    </row>
    <row r="15">
      <c r="A15" s="67" t="s">
        <v>59</v>
      </c>
      <c r="B15" s="68" t="s">
        <v>56</v>
      </c>
      <c r="C15" s="69" t="s">
        <v>57</v>
      </c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>
      <c r="A16" s="73" t="s">
        <v>60</v>
      </c>
      <c r="B16" s="71" t="s">
        <v>61</v>
      </c>
      <c r="C16" s="72" t="s">
        <v>62</v>
      </c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>
      <c r="A17" s="67" t="s">
        <v>61</v>
      </c>
      <c r="B17" s="68" t="s">
        <v>61</v>
      </c>
      <c r="C17" s="69" t="s">
        <v>62</v>
      </c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>
      <c r="A18" s="67" t="s">
        <v>63</v>
      </c>
      <c r="B18" s="68" t="s">
        <v>61</v>
      </c>
      <c r="C18" s="69" t="s">
        <v>62</v>
      </c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>
      <c r="A19" s="67" t="s">
        <v>64</v>
      </c>
      <c r="B19" s="68" t="s">
        <v>61</v>
      </c>
      <c r="C19" s="69" t="s">
        <v>62</v>
      </c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>
      <c r="A20" s="73" t="s">
        <v>65</v>
      </c>
      <c r="B20" s="71" t="s">
        <v>66</v>
      </c>
      <c r="C20" s="72" t="s">
        <v>67</v>
      </c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>
      <c r="A21" s="67" t="s">
        <v>66</v>
      </c>
      <c r="B21" s="68" t="s">
        <v>66</v>
      </c>
      <c r="C21" s="69" t="s">
        <v>67</v>
      </c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>
      <c r="A22" s="67" t="s">
        <v>68</v>
      </c>
      <c r="B22" s="68" t="s">
        <v>66</v>
      </c>
      <c r="C22" s="69" t="s">
        <v>67</v>
      </c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>
      <c r="A23" s="73" t="s">
        <v>69</v>
      </c>
      <c r="B23" s="71" t="s">
        <v>70</v>
      </c>
      <c r="C23" s="72" t="s">
        <v>71</v>
      </c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>
      <c r="A24" s="67" t="s">
        <v>70</v>
      </c>
      <c r="B24" s="68" t="s">
        <v>70</v>
      </c>
      <c r="C24" s="69" t="s">
        <v>71</v>
      </c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>
      <c r="A25" s="67" t="s">
        <v>72</v>
      </c>
      <c r="B25" s="68" t="s">
        <v>70</v>
      </c>
      <c r="C25" s="69" t="s">
        <v>71</v>
      </c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>
      <c r="A26" s="73" t="s">
        <v>73</v>
      </c>
      <c r="B26" s="71" t="s">
        <v>74</v>
      </c>
      <c r="C26" s="72" t="s">
        <v>75</v>
      </c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>
      <c r="A27" s="67" t="s">
        <v>74</v>
      </c>
      <c r="B27" s="68" t="s">
        <v>74</v>
      </c>
      <c r="C27" s="69" t="s">
        <v>75</v>
      </c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>
      <c r="A28" s="67" t="s">
        <v>76</v>
      </c>
      <c r="B28" s="68" t="s">
        <v>74</v>
      </c>
      <c r="C28" s="69" t="s">
        <v>75</v>
      </c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>
      <c r="A29" s="73" t="s">
        <v>77</v>
      </c>
      <c r="B29" s="71" t="s">
        <v>78</v>
      </c>
      <c r="C29" s="72" t="s">
        <v>79</v>
      </c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>
      <c r="A30" s="67" t="s">
        <v>78</v>
      </c>
      <c r="B30" s="68" t="s">
        <v>78</v>
      </c>
      <c r="C30" s="69" t="s">
        <v>79</v>
      </c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>
      <c r="A31" s="67" t="s">
        <v>80</v>
      </c>
      <c r="B31" s="68" t="s">
        <v>78</v>
      </c>
      <c r="C31" s="69" t="s">
        <v>79</v>
      </c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>
      <c r="A32" s="73" t="s">
        <v>81</v>
      </c>
      <c r="B32" s="71" t="s">
        <v>82</v>
      </c>
      <c r="C32" s="72" t="s">
        <v>83</v>
      </c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>
      <c r="A33" s="67" t="s">
        <v>82</v>
      </c>
      <c r="B33" s="68" t="s">
        <v>82</v>
      </c>
      <c r="C33" s="69" t="s">
        <v>83</v>
      </c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>
      <c r="A34" s="67" t="s">
        <v>84</v>
      </c>
      <c r="B34" s="68" t="s">
        <v>82</v>
      </c>
      <c r="C34" s="69" t="s">
        <v>83</v>
      </c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>
      <c r="A35" s="73" t="s">
        <v>85</v>
      </c>
      <c r="B35" s="71" t="s">
        <v>86</v>
      </c>
      <c r="C35" s="72" t="s">
        <v>87</v>
      </c>
    </row>
    <row r="36">
      <c r="A36" s="67" t="s">
        <v>86</v>
      </c>
      <c r="B36" s="68" t="s">
        <v>86</v>
      </c>
      <c r="C36" s="69" t="s">
        <v>87</v>
      </c>
    </row>
    <row r="37">
      <c r="A37" s="67" t="s">
        <v>88</v>
      </c>
      <c r="B37" s="68" t="s">
        <v>86</v>
      </c>
      <c r="C37" s="69" t="s">
        <v>87</v>
      </c>
    </row>
    <row r="38">
      <c r="A38" s="73" t="s">
        <v>89</v>
      </c>
      <c r="B38" s="71" t="s">
        <v>90</v>
      </c>
      <c r="C38" s="72" t="s">
        <v>91</v>
      </c>
    </row>
    <row r="39">
      <c r="A39" s="68" t="s">
        <v>90</v>
      </c>
      <c r="B39" s="68" t="s">
        <v>90</v>
      </c>
      <c r="C39" s="69" t="s">
        <v>91</v>
      </c>
    </row>
    <row r="40">
      <c r="A40" s="67" t="s">
        <v>92</v>
      </c>
      <c r="B40" s="68" t="s">
        <v>90</v>
      </c>
      <c r="C40" s="69" t="s">
        <v>91</v>
      </c>
    </row>
    <row r="41">
      <c r="A41" s="67" t="s">
        <v>93</v>
      </c>
      <c r="B41" s="68" t="s">
        <v>90</v>
      </c>
      <c r="C41" s="69" t="s">
        <v>91</v>
      </c>
    </row>
    <row r="42">
      <c r="A42" s="73" t="s">
        <v>94</v>
      </c>
      <c r="B42" s="71" t="s">
        <v>95</v>
      </c>
      <c r="C42" s="72" t="s">
        <v>96</v>
      </c>
    </row>
    <row r="43">
      <c r="A43" s="68" t="s">
        <v>95</v>
      </c>
      <c r="B43" s="68" t="s">
        <v>95</v>
      </c>
      <c r="C43" s="69" t="s">
        <v>96</v>
      </c>
    </row>
    <row r="44">
      <c r="A44" s="67" t="s">
        <v>97</v>
      </c>
      <c r="B44" s="68" t="s">
        <v>95</v>
      </c>
      <c r="C44" s="69" t="s">
        <v>96</v>
      </c>
    </row>
    <row r="45">
      <c r="A45" s="67" t="s">
        <v>98</v>
      </c>
      <c r="B45" s="68" t="s">
        <v>95</v>
      </c>
      <c r="C45" s="69" t="s">
        <v>96</v>
      </c>
    </row>
    <row r="46">
      <c r="A46" s="73" t="s">
        <v>99</v>
      </c>
      <c r="B46" s="71" t="s">
        <v>100</v>
      </c>
      <c r="C46" s="72" t="s">
        <v>101</v>
      </c>
    </row>
    <row r="47">
      <c r="A47" s="68" t="s">
        <v>100</v>
      </c>
      <c r="B47" s="68" t="s">
        <v>100</v>
      </c>
      <c r="C47" s="69" t="s">
        <v>101</v>
      </c>
    </row>
    <row r="48">
      <c r="A48" s="67" t="s">
        <v>102</v>
      </c>
      <c r="B48" s="68" t="s">
        <v>100</v>
      </c>
      <c r="C48" s="69" t="s">
        <v>101</v>
      </c>
    </row>
    <row r="49">
      <c r="A49" s="67" t="s">
        <v>103</v>
      </c>
      <c r="B49" s="68" t="s">
        <v>100</v>
      </c>
      <c r="C49" s="69" t="s">
        <v>101</v>
      </c>
    </row>
    <row r="50">
      <c r="A50" s="73" t="s">
        <v>104</v>
      </c>
      <c r="B50" s="71" t="s">
        <v>105</v>
      </c>
      <c r="C50" s="72" t="s">
        <v>106</v>
      </c>
    </row>
    <row r="51">
      <c r="A51" s="68" t="s">
        <v>105</v>
      </c>
      <c r="B51" s="68" t="s">
        <v>105</v>
      </c>
      <c r="C51" s="69" t="s">
        <v>106</v>
      </c>
    </row>
    <row r="52">
      <c r="A52" s="67" t="s">
        <v>107</v>
      </c>
      <c r="B52" s="68" t="s">
        <v>105</v>
      </c>
      <c r="C52" s="69" t="s">
        <v>106</v>
      </c>
    </row>
    <row r="53">
      <c r="A53" s="73" t="s">
        <v>108</v>
      </c>
      <c r="B53" s="71" t="s">
        <v>109</v>
      </c>
      <c r="C53" s="72" t="s">
        <v>110</v>
      </c>
    </row>
    <row r="54">
      <c r="A54" s="68" t="s">
        <v>109</v>
      </c>
      <c r="B54" s="68" t="s">
        <v>109</v>
      </c>
      <c r="C54" s="69" t="s">
        <v>110</v>
      </c>
    </row>
    <row r="55">
      <c r="A55" s="67" t="s">
        <v>111</v>
      </c>
      <c r="B55" s="68" t="s">
        <v>109</v>
      </c>
      <c r="C55" s="69" t="s">
        <v>110</v>
      </c>
    </row>
    <row r="56">
      <c r="A56" s="73" t="s">
        <v>112</v>
      </c>
      <c r="B56" s="71" t="s">
        <v>113</v>
      </c>
      <c r="C56" s="72" t="s">
        <v>114</v>
      </c>
    </row>
    <row r="57">
      <c r="A57" s="68" t="s">
        <v>113</v>
      </c>
      <c r="B57" s="68" t="s">
        <v>113</v>
      </c>
      <c r="C57" s="69" t="s">
        <v>114</v>
      </c>
    </row>
    <row r="58">
      <c r="A58" s="67" t="s">
        <v>115</v>
      </c>
      <c r="B58" s="68" t="s">
        <v>113</v>
      </c>
      <c r="C58" s="69" t="s">
        <v>114</v>
      </c>
    </row>
    <row r="59">
      <c r="A59" s="73" t="s">
        <v>116</v>
      </c>
      <c r="B59" s="71" t="s">
        <v>117</v>
      </c>
      <c r="C59" s="72" t="s">
        <v>118</v>
      </c>
    </row>
    <row r="60">
      <c r="A60" s="68" t="s">
        <v>117</v>
      </c>
      <c r="B60" s="68" t="s">
        <v>117</v>
      </c>
      <c r="C60" s="69" t="s">
        <v>118</v>
      </c>
    </row>
    <row r="61">
      <c r="A61" s="67" t="s">
        <v>119</v>
      </c>
      <c r="B61" s="68" t="s">
        <v>117</v>
      </c>
      <c r="C61" s="69" t="s">
        <v>118</v>
      </c>
    </row>
    <row r="62">
      <c r="A62" s="73" t="s">
        <v>120</v>
      </c>
      <c r="B62" s="71" t="s">
        <v>121</v>
      </c>
      <c r="C62" s="72" t="s">
        <v>122</v>
      </c>
    </row>
    <row r="63">
      <c r="A63" s="68" t="s">
        <v>121</v>
      </c>
      <c r="B63" s="68" t="s">
        <v>121</v>
      </c>
      <c r="C63" s="69" t="s">
        <v>122</v>
      </c>
    </row>
    <row r="64">
      <c r="A64" s="67" t="s">
        <v>123</v>
      </c>
      <c r="B64" s="68" t="s">
        <v>121</v>
      </c>
      <c r="C64" s="69" t="s">
        <v>122</v>
      </c>
    </row>
    <row r="65">
      <c r="A65" s="73" t="s">
        <v>124</v>
      </c>
      <c r="B65" s="71" t="s">
        <v>125</v>
      </c>
      <c r="C65" s="72" t="s">
        <v>126</v>
      </c>
    </row>
    <row r="66">
      <c r="A66" s="75" t="s">
        <v>125</v>
      </c>
      <c r="B66" s="75" t="s">
        <v>125</v>
      </c>
      <c r="C66" s="76" t="s">
        <v>126</v>
      </c>
    </row>
    <row r="67">
      <c r="A67" s="77" t="s">
        <v>127</v>
      </c>
      <c r="B67" s="75" t="s">
        <v>125</v>
      </c>
      <c r="C67" s="76" t="s">
        <v>126</v>
      </c>
    </row>
    <row r="68">
      <c r="A68" s="73" t="s">
        <v>128</v>
      </c>
      <c r="B68" s="71" t="s">
        <v>129</v>
      </c>
      <c r="C68" s="72" t="s">
        <v>130</v>
      </c>
    </row>
    <row r="69">
      <c r="A69" s="68" t="s">
        <v>129</v>
      </c>
      <c r="B69" s="68" t="s">
        <v>129</v>
      </c>
      <c r="C69" s="69" t="s">
        <v>130</v>
      </c>
    </row>
    <row r="70">
      <c r="A70" s="67" t="s">
        <v>131</v>
      </c>
      <c r="B70" s="68" t="s">
        <v>129</v>
      </c>
      <c r="C70" s="69" t="s">
        <v>130</v>
      </c>
    </row>
    <row r="71">
      <c r="A71" s="73" t="s">
        <v>132</v>
      </c>
      <c r="B71" s="71" t="s">
        <v>133</v>
      </c>
      <c r="C71" s="72" t="s">
        <v>134</v>
      </c>
    </row>
    <row r="72">
      <c r="A72" s="68" t="s">
        <v>133</v>
      </c>
      <c r="B72" s="68" t="s">
        <v>133</v>
      </c>
      <c r="C72" s="69" t="s">
        <v>134</v>
      </c>
    </row>
    <row r="73">
      <c r="A73" s="67" t="s">
        <v>135</v>
      </c>
      <c r="B73" s="68" t="s">
        <v>133</v>
      </c>
      <c r="C73" s="69" t="s">
        <v>134</v>
      </c>
    </row>
    <row r="74">
      <c r="A74" s="67" t="s">
        <v>136</v>
      </c>
      <c r="B74" s="68" t="s">
        <v>133</v>
      </c>
      <c r="C74" s="69" t="s">
        <v>134</v>
      </c>
    </row>
    <row r="75">
      <c r="A75" s="73" t="s">
        <v>137</v>
      </c>
      <c r="B75" s="71" t="s">
        <v>138</v>
      </c>
      <c r="C75" s="72" t="s">
        <v>139</v>
      </c>
    </row>
    <row r="76">
      <c r="A76" s="68" t="s">
        <v>138</v>
      </c>
      <c r="B76" s="68" t="s">
        <v>138</v>
      </c>
      <c r="C76" s="69" t="s">
        <v>139</v>
      </c>
    </row>
    <row r="77">
      <c r="A77" s="67" t="s">
        <v>140</v>
      </c>
      <c r="B77" s="68" t="s">
        <v>138</v>
      </c>
      <c r="C77" s="69" t="s">
        <v>139</v>
      </c>
    </row>
    <row r="78">
      <c r="A78" s="73" t="s">
        <v>141</v>
      </c>
      <c r="B78" s="71" t="s">
        <v>142</v>
      </c>
      <c r="C78" s="72" t="s">
        <v>143</v>
      </c>
    </row>
    <row r="79">
      <c r="A79" s="68" t="s">
        <v>142</v>
      </c>
      <c r="B79" s="68" t="s">
        <v>142</v>
      </c>
      <c r="C79" s="69" t="s">
        <v>143</v>
      </c>
    </row>
    <row r="80">
      <c r="A80" s="67" t="s">
        <v>144</v>
      </c>
      <c r="B80" s="68" t="s">
        <v>142</v>
      </c>
      <c r="C80" s="69" t="s">
        <v>143</v>
      </c>
    </row>
    <row r="81">
      <c r="A81" s="67" t="s">
        <v>145</v>
      </c>
      <c r="B81" s="68" t="s">
        <v>142</v>
      </c>
      <c r="C81" s="69" t="s">
        <v>143</v>
      </c>
    </row>
    <row r="82">
      <c r="A82" s="67" t="s">
        <v>146</v>
      </c>
      <c r="B82" s="68" t="s">
        <v>142</v>
      </c>
      <c r="C82" s="69" t="s">
        <v>143</v>
      </c>
    </row>
    <row r="83">
      <c r="A83" s="73" t="s">
        <v>147</v>
      </c>
      <c r="B83" s="71" t="s">
        <v>148</v>
      </c>
      <c r="C83" s="72" t="s">
        <v>149</v>
      </c>
    </row>
    <row r="84">
      <c r="A84" s="68" t="s">
        <v>148</v>
      </c>
      <c r="B84" s="68" t="s">
        <v>148</v>
      </c>
      <c r="C84" s="69" t="s">
        <v>149</v>
      </c>
    </row>
    <row r="85">
      <c r="A85" s="78" t="s">
        <v>150</v>
      </c>
      <c r="B85" s="68" t="s">
        <v>148</v>
      </c>
      <c r="C85" s="69" t="s">
        <v>149</v>
      </c>
    </row>
    <row r="86">
      <c r="A86" s="78" t="s">
        <v>151</v>
      </c>
      <c r="B86" s="68" t="s">
        <v>148</v>
      </c>
      <c r="C86" s="69" t="s">
        <v>149</v>
      </c>
    </row>
    <row r="87">
      <c r="A87" s="73" t="s">
        <v>152</v>
      </c>
      <c r="B87" s="71" t="s">
        <v>153</v>
      </c>
      <c r="C87" s="72" t="s">
        <v>154</v>
      </c>
    </row>
    <row r="88">
      <c r="A88" s="68" t="s">
        <v>153</v>
      </c>
      <c r="B88" s="68" t="s">
        <v>153</v>
      </c>
      <c r="C88" s="69" t="s">
        <v>154</v>
      </c>
    </row>
    <row r="89">
      <c r="A89" s="67" t="s">
        <v>155</v>
      </c>
      <c r="B89" s="68" t="s">
        <v>153</v>
      </c>
      <c r="C89" s="69" t="s">
        <v>154</v>
      </c>
    </row>
    <row r="90">
      <c r="A90" s="73" t="s">
        <v>156</v>
      </c>
      <c r="B90" s="71" t="s">
        <v>157</v>
      </c>
      <c r="C90" s="72" t="s">
        <v>158</v>
      </c>
    </row>
    <row r="91">
      <c r="A91" s="68" t="s">
        <v>157</v>
      </c>
      <c r="B91" s="68" t="s">
        <v>157</v>
      </c>
      <c r="C91" s="69" t="s">
        <v>158</v>
      </c>
    </row>
    <row r="92">
      <c r="A92" s="67" t="s">
        <v>159</v>
      </c>
      <c r="B92" s="68" t="s">
        <v>157</v>
      </c>
      <c r="C92" s="69" t="s">
        <v>158</v>
      </c>
    </row>
    <row r="93">
      <c r="A93" s="67" t="s">
        <v>160</v>
      </c>
      <c r="B93" s="68" t="s">
        <v>157</v>
      </c>
      <c r="C93" s="69" t="s">
        <v>158</v>
      </c>
    </row>
    <row r="94">
      <c r="A94" s="73" t="s">
        <v>161</v>
      </c>
      <c r="B94" s="71" t="s">
        <v>162</v>
      </c>
      <c r="C94" s="72" t="s">
        <v>163</v>
      </c>
    </row>
    <row r="95">
      <c r="A95" s="68" t="s">
        <v>162</v>
      </c>
      <c r="B95" s="68" t="s">
        <v>162</v>
      </c>
      <c r="C95" s="69" t="s">
        <v>163</v>
      </c>
    </row>
    <row r="96">
      <c r="A96" s="67" t="s">
        <v>164</v>
      </c>
      <c r="B96" s="68" t="s">
        <v>162</v>
      </c>
      <c r="C96" s="69" t="s">
        <v>163</v>
      </c>
    </row>
    <row r="97">
      <c r="A97" s="67" t="s">
        <v>165</v>
      </c>
      <c r="B97" s="68" t="s">
        <v>162</v>
      </c>
      <c r="C97" s="69" t="s">
        <v>163</v>
      </c>
    </row>
    <row r="98">
      <c r="A98" s="73" t="s">
        <v>166</v>
      </c>
      <c r="B98" s="71" t="s">
        <v>167</v>
      </c>
      <c r="C98" s="72" t="s">
        <v>168</v>
      </c>
    </row>
    <row r="99">
      <c r="A99" s="68" t="s">
        <v>167</v>
      </c>
      <c r="B99" s="68" t="s">
        <v>167</v>
      </c>
      <c r="C99" s="69" t="s">
        <v>168</v>
      </c>
    </row>
    <row r="100">
      <c r="A100" s="67" t="s">
        <v>169</v>
      </c>
      <c r="B100" s="68" t="s">
        <v>167</v>
      </c>
      <c r="C100" s="69" t="s">
        <v>168</v>
      </c>
    </row>
    <row r="101">
      <c r="A101" s="67" t="s">
        <v>170</v>
      </c>
      <c r="B101" s="68" t="s">
        <v>167</v>
      </c>
      <c r="C101" s="69" t="s">
        <v>168</v>
      </c>
    </row>
    <row r="102">
      <c r="A102" s="73" t="s">
        <v>171</v>
      </c>
      <c r="B102" s="71" t="s">
        <v>172</v>
      </c>
      <c r="C102" s="72" t="s">
        <v>173</v>
      </c>
    </row>
    <row r="103">
      <c r="A103" s="68" t="s">
        <v>172</v>
      </c>
      <c r="B103" s="68" t="s">
        <v>172</v>
      </c>
      <c r="C103" s="69" t="s">
        <v>173</v>
      </c>
    </row>
    <row r="104">
      <c r="A104" s="67" t="s">
        <v>174</v>
      </c>
      <c r="B104" s="68" t="s">
        <v>172</v>
      </c>
      <c r="C104" s="69" t="s">
        <v>173</v>
      </c>
    </row>
    <row r="105">
      <c r="A105" s="67" t="s">
        <v>175</v>
      </c>
      <c r="B105" s="68" t="s">
        <v>172</v>
      </c>
      <c r="C105" s="69" t="s">
        <v>173</v>
      </c>
    </row>
    <row r="106">
      <c r="A106" s="73" t="s">
        <v>176</v>
      </c>
      <c r="B106" s="71" t="s">
        <v>177</v>
      </c>
      <c r="C106" s="72" t="s">
        <v>178</v>
      </c>
    </row>
    <row r="107">
      <c r="A107" s="68" t="s">
        <v>177</v>
      </c>
      <c r="B107" s="68" t="s">
        <v>177</v>
      </c>
      <c r="C107" s="69" t="s">
        <v>178</v>
      </c>
    </row>
    <row r="108">
      <c r="A108" s="67" t="s">
        <v>179</v>
      </c>
      <c r="B108" s="68" t="s">
        <v>177</v>
      </c>
      <c r="C108" s="69" t="s">
        <v>178</v>
      </c>
    </row>
    <row r="109">
      <c r="A109" s="67" t="s">
        <v>180</v>
      </c>
      <c r="B109" s="68" t="s">
        <v>177</v>
      </c>
      <c r="C109" s="69" t="s">
        <v>178</v>
      </c>
    </row>
    <row r="110">
      <c r="A110" s="73" t="s">
        <v>181</v>
      </c>
      <c r="B110" s="71" t="s">
        <v>182</v>
      </c>
      <c r="C110" s="72" t="s">
        <v>183</v>
      </c>
    </row>
    <row r="111">
      <c r="A111" s="68" t="s">
        <v>182</v>
      </c>
      <c r="B111" s="68" t="s">
        <v>182</v>
      </c>
      <c r="C111" s="69" t="s">
        <v>183</v>
      </c>
    </row>
    <row r="112">
      <c r="A112" s="67" t="s">
        <v>184</v>
      </c>
      <c r="B112" s="68" t="s">
        <v>182</v>
      </c>
      <c r="C112" s="69" t="s">
        <v>183</v>
      </c>
    </row>
    <row r="113">
      <c r="A113" s="73" t="s">
        <v>185</v>
      </c>
      <c r="B113" s="71" t="s">
        <v>186</v>
      </c>
      <c r="C113" s="72" t="s">
        <v>187</v>
      </c>
    </row>
    <row r="114">
      <c r="A114" s="68" t="s">
        <v>186</v>
      </c>
      <c r="B114" s="68" t="s">
        <v>186</v>
      </c>
      <c r="C114" s="69" t="s">
        <v>187</v>
      </c>
    </row>
    <row r="115">
      <c r="A115" s="67" t="s">
        <v>188</v>
      </c>
      <c r="B115" s="68" t="s">
        <v>186</v>
      </c>
      <c r="C115" s="69" t="s">
        <v>187</v>
      </c>
    </row>
    <row r="116">
      <c r="A116" s="73" t="s">
        <v>189</v>
      </c>
      <c r="B116" s="71" t="s">
        <v>190</v>
      </c>
      <c r="C116" s="72" t="s">
        <v>191</v>
      </c>
    </row>
    <row r="117">
      <c r="A117" s="68" t="s">
        <v>190</v>
      </c>
      <c r="B117" s="68" t="s">
        <v>190</v>
      </c>
      <c r="C117" s="69" t="s">
        <v>191</v>
      </c>
    </row>
    <row r="118">
      <c r="A118" s="67" t="s">
        <v>192</v>
      </c>
      <c r="B118" s="68" t="s">
        <v>190</v>
      </c>
      <c r="C118" s="69" t="s">
        <v>191</v>
      </c>
    </row>
    <row r="119">
      <c r="A119" s="73" t="s">
        <v>193</v>
      </c>
      <c r="B119" s="71" t="s">
        <v>194</v>
      </c>
      <c r="C119" s="72" t="s">
        <v>195</v>
      </c>
    </row>
    <row r="120">
      <c r="A120" s="68" t="s">
        <v>194</v>
      </c>
      <c r="B120" s="68" t="s">
        <v>194</v>
      </c>
      <c r="C120" s="69" t="s">
        <v>195</v>
      </c>
    </row>
    <row r="121">
      <c r="A121" s="67" t="s">
        <v>196</v>
      </c>
      <c r="B121" s="68" t="s">
        <v>194</v>
      </c>
      <c r="C121" s="69" t="s">
        <v>195</v>
      </c>
    </row>
    <row r="122">
      <c r="A122" s="73" t="s">
        <v>197</v>
      </c>
      <c r="B122" s="71" t="s">
        <v>198</v>
      </c>
      <c r="C122" s="72" t="s">
        <v>199</v>
      </c>
    </row>
    <row r="123">
      <c r="A123" s="68" t="s">
        <v>198</v>
      </c>
      <c r="B123" s="68" t="s">
        <v>198</v>
      </c>
      <c r="C123" s="69" t="s">
        <v>199</v>
      </c>
    </row>
    <row r="124">
      <c r="A124" s="67" t="s">
        <v>200</v>
      </c>
      <c r="B124" s="68" t="s">
        <v>198</v>
      </c>
      <c r="C124" s="69" t="s">
        <v>199</v>
      </c>
    </row>
    <row r="125">
      <c r="A125" s="73" t="s">
        <v>201</v>
      </c>
      <c r="B125" s="71" t="s">
        <v>202</v>
      </c>
      <c r="C125" s="72" t="s">
        <v>203</v>
      </c>
    </row>
    <row r="126">
      <c r="A126" s="68" t="s">
        <v>202</v>
      </c>
      <c r="B126" s="68" t="s">
        <v>202</v>
      </c>
      <c r="C126" s="69" t="s">
        <v>203</v>
      </c>
    </row>
    <row r="127">
      <c r="A127" s="67" t="s">
        <v>204</v>
      </c>
      <c r="B127" s="68" t="s">
        <v>202</v>
      </c>
      <c r="C127" s="69" t="s">
        <v>203</v>
      </c>
    </row>
    <row r="128">
      <c r="A128" s="73" t="s">
        <v>205</v>
      </c>
      <c r="B128" s="71" t="s">
        <v>206</v>
      </c>
      <c r="C128" s="72" t="s">
        <v>207</v>
      </c>
    </row>
    <row r="129">
      <c r="A129" s="67" t="s">
        <v>206</v>
      </c>
      <c r="B129" s="68" t="s">
        <v>206</v>
      </c>
      <c r="C129" s="69" t="s">
        <v>207</v>
      </c>
    </row>
    <row r="130">
      <c r="A130" s="67" t="s">
        <v>208</v>
      </c>
      <c r="B130" s="68" t="s">
        <v>206</v>
      </c>
      <c r="C130" s="69" t="s">
        <v>207</v>
      </c>
    </row>
    <row r="131">
      <c r="A131" s="73" t="s">
        <v>209</v>
      </c>
      <c r="B131" s="71" t="s">
        <v>210</v>
      </c>
      <c r="C131" s="72" t="s">
        <v>211</v>
      </c>
    </row>
    <row r="132">
      <c r="A132" s="67" t="s">
        <v>210</v>
      </c>
      <c r="B132" s="68" t="s">
        <v>210</v>
      </c>
      <c r="C132" s="69" t="s">
        <v>211</v>
      </c>
    </row>
    <row r="133">
      <c r="A133" s="67" t="s">
        <v>212</v>
      </c>
      <c r="B133" s="68" t="s">
        <v>210</v>
      </c>
      <c r="C133" s="69" t="s">
        <v>211</v>
      </c>
    </row>
    <row r="134">
      <c r="A134" s="73" t="s">
        <v>213</v>
      </c>
      <c r="B134" s="71" t="s">
        <v>214</v>
      </c>
      <c r="C134" s="72" t="s">
        <v>215</v>
      </c>
    </row>
    <row r="135">
      <c r="A135" s="67" t="s">
        <v>214</v>
      </c>
      <c r="B135" s="68" t="s">
        <v>214</v>
      </c>
      <c r="C135" s="69" t="s">
        <v>215</v>
      </c>
    </row>
    <row r="136">
      <c r="A136" s="67" t="s">
        <v>216</v>
      </c>
      <c r="B136" s="68" t="s">
        <v>214</v>
      </c>
      <c r="C136" s="69" t="s">
        <v>215</v>
      </c>
    </row>
    <row r="137">
      <c r="A137" s="73" t="s">
        <v>217</v>
      </c>
      <c r="B137" s="71" t="s">
        <v>218</v>
      </c>
      <c r="C137" s="72" t="s">
        <v>219</v>
      </c>
    </row>
    <row r="138">
      <c r="A138" s="67" t="s">
        <v>218</v>
      </c>
      <c r="B138" s="68" t="s">
        <v>218</v>
      </c>
      <c r="C138" s="69" t="s">
        <v>219</v>
      </c>
    </row>
    <row r="139">
      <c r="A139" s="67" t="s">
        <v>220</v>
      </c>
      <c r="B139" s="68" t="s">
        <v>218</v>
      </c>
      <c r="C139" s="69" t="s">
        <v>219</v>
      </c>
    </row>
    <row r="140">
      <c r="A140" s="73" t="s">
        <v>221</v>
      </c>
      <c r="B140" s="71" t="s">
        <v>222</v>
      </c>
      <c r="C140" s="72" t="s">
        <v>223</v>
      </c>
    </row>
    <row r="141">
      <c r="A141" s="67" t="s">
        <v>222</v>
      </c>
      <c r="B141" s="68" t="s">
        <v>222</v>
      </c>
      <c r="C141" s="69" t="s">
        <v>223</v>
      </c>
    </row>
    <row r="142">
      <c r="A142" s="67" t="s">
        <v>224</v>
      </c>
      <c r="B142" s="68" t="s">
        <v>222</v>
      </c>
      <c r="C142" s="69" t="s">
        <v>223</v>
      </c>
    </row>
    <row r="143">
      <c r="A143" s="73" t="s">
        <v>225</v>
      </c>
      <c r="B143" s="71" t="s">
        <v>226</v>
      </c>
      <c r="C143" s="72" t="s">
        <v>227</v>
      </c>
    </row>
    <row r="144">
      <c r="A144" s="67" t="s">
        <v>226</v>
      </c>
      <c r="B144" s="68" t="s">
        <v>226</v>
      </c>
      <c r="C144" s="69" t="s">
        <v>227</v>
      </c>
    </row>
    <row r="145">
      <c r="A145" s="67" t="s">
        <v>228</v>
      </c>
      <c r="B145" s="68" t="s">
        <v>226</v>
      </c>
      <c r="C145" s="69" t="s">
        <v>227</v>
      </c>
    </row>
    <row r="146">
      <c r="A146" s="73" t="s">
        <v>229</v>
      </c>
      <c r="B146" s="71" t="s">
        <v>230</v>
      </c>
      <c r="C146" s="72" t="s">
        <v>231</v>
      </c>
    </row>
    <row r="147">
      <c r="A147" s="67" t="s">
        <v>230</v>
      </c>
      <c r="B147" s="68" t="s">
        <v>230</v>
      </c>
      <c r="C147" s="69" t="s">
        <v>231</v>
      </c>
    </row>
    <row r="148">
      <c r="A148" s="67" t="s">
        <v>232</v>
      </c>
      <c r="B148" s="68" t="s">
        <v>230</v>
      </c>
      <c r="C148" s="69" t="s">
        <v>231</v>
      </c>
    </row>
    <row r="149">
      <c r="A149" s="67" t="s">
        <v>229</v>
      </c>
      <c r="B149" s="68" t="s">
        <v>230</v>
      </c>
      <c r="C149" s="69" t="s">
        <v>231</v>
      </c>
    </row>
    <row r="150">
      <c r="A150" s="73" t="s">
        <v>233</v>
      </c>
      <c r="B150" s="71" t="s">
        <v>234</v>
      </c>
      <c r="C150" s="72" t="s">
        <v>235</v>
      </c>
    </row>
    <row r="151">
      <c r="A151" s="67" t="s">
        <v>234</v>
      </c>
      <c r="B151" s="68" t="s">
        <v>234</v>
      </c>
      <c r="C151" s="69" t="s">
        <v>235</v>
      </c>
    </row>
    <row r="152">
      <c r="A152" s="67" t="s">
        <v>236</v>
      </c>
      <c r="B152" s="68" t="s">
        <v>234</v>
      </c>
      <c r="C152" s="69" t="s">
        <v>235</v>
      </c>
    </row>
    <row r="153">
      <c r="A153" s="67" t="s">
        <v>237</v>
      </c>
      <c r="B153" s="68" t="s">
        <v>234</v>
      </c>
      <c r="C153" s="69" t="s">
        <v>235</v>
      </c>
    </row>
    <row r="154">
      <c r="A154" s="73" t="s">
        <v>238</v>
      </c>
      <c r="B154" s="71" t="s">
        <v>239</v>
      </c>
      <c r="C154" s="72" t="s">
        <v>240</v>
      </c>
    </row>
    <row r="155">
      <c r="A155" s="67" t="s">
        <v>239</v>
      </c>
      <c r="B155" s="68" t="s">
        <v>239</v>
      </c>
      <c r="C155" s="69" t="s">
        <v>240</v>
      </c>
    </row>
    <row r="156">
      <c r="A156" s="67" t="s">
        <v>241</v>
      </c>
      <c r="B156" s="68" t="s">
        <v>239</v>
      </c>
      <c r="C156" s="69" t="s">
        <v>240</v>
      </c>
    </row>
    <row r="157">
      <c r="A157" s="73" t="s">
        <v>242</v>
      </c>
      <c r="B157" s="71" t="s">
        <v>243</v>
      </c>
      <c r="C157" s="72" t="s">
        <v>244</v>
      </c>
    </row>
    <row r="158">
      <c r="A158" s="67" t="s">
        <v>243</v>
      </c>
      <c r="B158" s="68" t="s">
        <v>243</v>
      </c>
      <c r="C158" s="69" t="s">
        <v>244</v>
      </c>
    </row>
    <row r="159">
      <c r="A159" s="67" t="s">
        <v>245</v>
      </c>
      <c r="B159" s="68" t="s">
        <v>243</v>
      </c>
      <c r="C159" s="69" t="s">
        <v>244</v>
      </c>
    </row>
    <row r="160">
      <c r="A160" s="73" t="s">
        <v>246</v>
      </c>
      <c r="B160" s="71" t="s">
        <v>247</v>
      </c>
      <c r="C160" s="72" t="s">
        <v>248</v>
      </c>
    </row>
    <row r="161">
      <c r="A161" s="67" t="s">
        <v>247</v>
      </c>
      <c r="B161" s="68" t="s">
        <v>247</v>
      </c>
      <c r="C161" s="69" t="s">
        <v>248</v>
      </c>
    </row>
    <row r="162">
      <c r="A162" s="67" t="s">
        <v>136</v>
      </c>
      <c r="B162" s="68" t="s">
        <v>247</v>
      </c>
      <c r="C162" s="69" t="s">
        <v>248</v>
      </c>
    </row>
    <row r="163">
      <c r="A163" s="73" t="s">
        <v>249</v>
      </c>
      <c r="B163" s="71" t="s">
        <v>250</v>
      </c>
      <c r="C163" s="72" t="s">
        <v>251</v>
      </c>
    </row>
    <row r="164">
      <c r="A164" s="67" t="s">
        <v>250</v>
      </c>
      <c r="B164" s="68" t="s">
        <v>250</v>
      </c>
      <c r="C164" s="69" t="s">
        <v>251</v>
      </c>
    </row>
    <row r="165">
      <c r="A165" s="67" t="s">
        <v>252</v>
      </c>
      <c r="B165" s="68" t="s">
        <v>250</v>
      </c>
      <c r="C165" s="69" t="s">
        <v>251</v>
      </c>
    </row>
    <row r="166">
      <c r="A166" s="73" t="s">
        <v>253</v>
      </c>
      <c r="B166" s="71" t="s">
        <v>254</v>
      </c>
      <c r="C166" s="72" t="s">
        <v>255</v>
      </c>
    </row>
    <row r="167">
      <c r="A167" s="67" t="s">
        <v>254</v>
      </c>
      <c r="B167" s="68" t="s">
        <v>254</v>
      </c>
      <c r="C167" s="69" t="s">
        <v>255</v>
      </c>
    </row>
    <row r="168">
      <c r="A168" s="67" t="s">
        <v>256</v>
      </c>
      <c r="B168" s="68" t="s">
        <v>254</v>
      </c>
      <c r="C168" s="69" t="s">
        <v>255</v>
      </c>
    </row>
    <row r="169">
      <c r="A169" s="73" t="s">
        <v>257</v>
      </c>
      <c r="B169" s="71" t="s">
        <v>258</v>
      </c>
      <c r="C169" s="72" t="s">
        <v>259</v>
      </c>
    </row>
    <row r="170">
      <c r="A170" s="68" t="s">
        <v>258</v>
      </c>
      <c r="B170" s="68" t="s">
        <v>258</v>
      </c>
      <c r="C170" s="69" t="s">
        <v>259</v>
      </c>
    </row>
    <row r="171">
      <c r="A171" s="67" t="s">
        <v>260</v>
      </c>
      <c r="B171" s="68" t="s">
        <v>258</v>
      </c>
      <c r="C171" s="69" t="s">
        <v>259</v>
      </c>
    </row>
    <row r="172">
      <c r="A172" s="73" t="s">
        <v>261</v>
      </c>
      <c r="B172" s="71" t="s">
        <v>262</v>
      </c>
      <c r="C172" s="72" t="s">
        <v>263</v>
      </c>
    </row>
    <row r="173">
      <c r="A173" s="68" t="s">
        <v>262</v>
      </c>
      <c r="B173" s="68" t="s">
        <v>262</v>
      </c>
      <c r="C173" s="69" t="s">
        <v>263</v>
      </c>
    </row>
    <row r="174">
      <c r="A174" s="67" t="s">
        <v>264</v>
      </c>
      <c r="B174" s="68" t="s">
        <v>262</v>
      </c>
      <c r="C174" s="69" t="s">
        <v>263</v>
      </c>
    </row>
    <row r="175">
      <c r="A175" s="67" t="s">
        <v>265</v>
      </c>
      <c r="B175" s="68" t="s">
        <v>262</v>
      </c>
      <c r="C175" s="69" t="s">
        <v>263</v>
      </c>
    </row>
    <row r="176">
      <c r="A176" s="73" t="s">
        <v>266</v>
      </c>
      <c r="B176" s="71" t="s">
        <v>267</v>
      </c>
      <c r="C176" s="72" t="s">
        <v>268</v>
      </c>
    </row>
    <row r="177">
      <c r="A177" s="68" t="s">
        <v>267</v>
      </c>
      <c r="B177" s="68" t="s">
        <v>267</v>
      </c>
      <c r="C177" s="69" t="s">
        <v>268</v>
      </c>
    </row>
    <row r="178">
      <c r="A178" s="67" t="s">
        <v>269</v>
      </c>
      <c r="B178" s="68" t="s">
        <v>267</v>
      </c>
      <c r="C178" s="69" t="s">
        <v>268</v>
      </c>
    </row>
    <row r="179">
      <c r="A179" s="73" t="s">
        <v>270</v>
      </c>
      <c r="B179" s="71" t="s">
        <v>271</v>
      </c>
      <c r="C179" s="72" t="s">
        <v>272</v>
      </c>
    </row>
    <row r="180">
      <c r="A180" s="68" t="s">
        <v>271</v>
      </c>
      <c r="B180" s="68" t="s">
        <v>271</v>
      </c>
      <c r="C180" s="69" t="s">
        <v>272</v>
      </c>
    </row>
    <row r="181">
      <c r="A181" s="79" t="s">
        <v>273</v>
      </c>
      <c r="B181" s="68" t="s">
        <v>271</v>
      </c>
      <c r="C181" s="69" t="s">
        <v>272</v>
      </c>
    </row>
    <row r="182">
      <c r="A182" s="73" t="s">
        <v>274</v>
      </c>
      <c r="B182" s="71" t="s">
        <v>275</v>
      </c>
      <c r="C182" s="72" t="s">
        <v>276</v>
      </c>
    </row>
    <row r="183">
      <c r="A183" s="67" t="s">
        <v>275</v>
      </c>
      <c r="B183" s="68" t="s">
        <v>275</v>
      </c>
      <c r="C183" s="69" t="s">
        <v>276</v>
      </c>
    </row>
    <row r="184">
      <c r="A184" s="67" t="s">
        <v>277</v>
      </c>
      <c r="B184" s="68" t="s">
        <v>275</v>
      </c>
      <c r="C184" s="69" t="s">
        <v>276</v>
      </c>
    </row>
    <row r="185">
      <c r="A185" s="67" t="s">
        <v>278</v>
      </c>
      <c r="B185" s="68" t="s">
        <v>275</v>
      </c>
      <c r="C185" s="69" t="s">
        <v>276</v>
      </c>
    </row>
    <row r="186">
      <c r="A186" s="80" t="s">
        <v>279</v>
      </c>
      <c r="B186" s="81" t="s">
        <v>275</v>
      </c>
      <c r="C186" s="82" t="s">
        <v>276</v>
      </c>
    </row>
    <row r="187" ht="58.5" customHeight="1">
      <c r="A187" s="83" t="s">
        <v>280</v>
      </c>
      <c r="B187" s="84"/>
      <c r="C187" s="85"/>
    </row>
  </sheetData>
  <mergeCells count="2">
    <mergeCell ref="A2:C2"/>
    <mergeCell ref="A187:C18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7.43"/>
    <col customWidth="1" min="4" max="4" width="19.71"/>
    <col customWidth="1" min="5" max="5" width="64.86"/>
  </cols>
  <sheetData>
    <row r="1" ht="54.0" customHeight="1">
      <c r="A1" s="86" t="s">
        <v>281</v>
      </c>
      <c r="B1" s="87" t="s">
        <v>282</v>
      </c>
      <c r="C1" s="87" t="s">
        <v>283</v>
      </c>
      <c r="D1" s="88" t="s">
        <v>284</v>
      </c>
    </row>
    <row r="2">
      <c r="A2" s="5" t="str">
        <f>IFERROR(__xludf.DUMMYFUNCTION("IFERROR(VLOOKUP(TRIM(TO_TEXT(D2)), ITEM_MASTER!A:C, 3, FALSE), ""NOT FOUND"")"),"Pokemon Card Game Scarlet &amp; Violet 151 sv2a Booster Box")</f>
        <v>Pokemon Card Game Scarlet &amp; Violet 151 sv2a Booster Box</v>
      </c>
      <c r="D2" s="5">
        <v>151.0</v>
      </c>
    </row>
    <row r="3">
      <c r="A3" s="5" t="str">
        <f>IFERROR(__xludf.DUMMYFUNCTION("IFERROR(VLOOKUP(TRIM(TO_TEXT(D3)), ITEM_MASTER!A:C, 3, FALSE), ""NOT FOUND"")"),"NOT FOUND")</f>
        <v>NOT FOUND</v>
      </c>
    </row>
    <row r="4">
      <c r="A4" s="5" t="str">
        <f>IFERROR(__xludf.DUMMYFUNCTION("IFERROR(VLOOKUP(TRIM(TO_TEXT(D4)), ITEM_MASTER!A:C, 3, FALSE), ""NOT FOUND"")"),"NOT FOUND")</f>
        <v>NOT FOUND</v>
      </c>
    </row>
    <row r="5">
      <c r="A5" s="5" t="str">
        <f>IFERROR(__xludf.DUMMYFUNCTION("IFERROR(VLOOKUP(TRIM(TO_TEXT(D5)), ITEM_MASTER!A:C, 3, FALSE), ""NOT FOUND"")"),"Pokemon Card Game Sword &amp; Shield Lost Abyss s11 Booster Box")</f>
        <v>Pokemon Card Game Sword &amp; Shield Lost Abyss s11 Booster Box</v>
      </c>
      <c r="D5" s="5" t="s">
        <v>285</v>
      </c>
    </row>
    <row r="6">
      <c r="A6" s="5" t="str">
        <f>IFERROR(__xludf.DUMMYFUNCTION("IFERROR(VLOOKUP(TRIM(TO_TEXT(D6)), ITEM_MASTER!A:C, 3, FALSE), ""NOT FOUND"")"),"NOT FOUND")</f>
        <v>NOT FOUND</v>
      </c>
    </row>
    <row r="7">
      <c r="A7" s="5" t="str">
        <f>IFERROR(__xludf.DUMMYFUNCTION("IFERROR(VLOOKUP(TRIM(TO_TEXT(D7)), ITEM_MASTER!A:C, 3, FALSE), ""NOT FOUND"")"),"Pokemon Card Game Scarlet &amp; Violet Clay Burst sv2d Booster Box")</f>
        <v>Pokemon Card Game Scarlet &amp; Violet Clay Burst sv2d Booster Box</v>
      </c>
      <c r="D7" s="5" t="s">
        <v>286</v>
      </c>
    </row>
    <row r="8">
      <c r="A8" s="5" t="str">
        <f>IFERROR(__xludf.DUMMYFUNCTION("IFERROR(VLOOKUP(TRIM(TO_TEXT(D8)), ITEM_MASTER!A:C, 3, FALSE), ""NOT FOUND"")"),"Pokemon Card Game Sword &amp; Shield VSTAR Universe s12a")</f>
        <v>Pokemon Card Game Sword &amp; Shield VSTAR Universe s12a</v>
      </c>
      <c r="D8" s="5" t="s">
        <v>165</v>
      </c>
    </row>
    <row r="9">
      <c r="A9" s="5" t="str">
        <f>IFERROR(__xludf.DUMMYFUNCTION("IFERROR(VLOOKUP(TRIM(TO_TEXT(D9)), ITEM_MASTER!A:C, 3, FALSE), ""NOT FOUND"")"),"Pokemon Card Game Scarlet &amp; Violet 151 sv2a Booster Box")</f>
        <v>Pokemon Card Game Scarlet &amp; Violet 151 sv2a Booster Box</v>
      </c>
      <c r="D9" s="5">
        <v>151.0</v>
      </c>
    </row>
    <row r="10">
      <c r="A10" s="5" t="str">
        <f>IFERROR(__xludf.DUMMYFUNCTION("IFERROR(VLOOKUP(TRIM(TO_TEXT(D10)), ITEM_MASTER!A:C, 3, FALSE), ""NOT FOUND"")"),"NOT FOUND")</f>
        <v>NOT FOUND</v>
      </c>
    </row>
    <row r="11">
      <c r="A11" s="5" t="str">
        <f>IFERROR(__xludf.DUMMYFUNCTION("IFERROR(VLOOKUP(TRIM(TO_TEXT(D11)), ITEM_MASTER!A:C, 3, FALSE), ""NOT FOUND"")"),"NOT FOUND")</f>
        <v>NOT FOUND</v>
      </c>
    </row>
    <row r="12">
      <c r="A12" s="5" t="str">
        <f>IFERROR(__xludf.DUMMYFUNCTION("IFERROR(VLOOKUP(TRIM(TO_TEXT(D12)), ITEM_MASTER!A:C, 3, FALSE), ""NOT FOUND"")"),"NOT FOUND")</f>
        <v>NOT FOUND</v>
      </c>
    </row>
    <row r="13">
      <c r="A13" s="5" t="str">
        <f>IFERROR(__xludf.DUMMYFUNCTION("IFERROR(VLOOKUP(TRIM(TO_TEXT(D13)), ITEM_MASTER!A:C, 3, FALSE), ""NOT FOUND"")"),"NOT FOUND")</f>
        <v>NOT FOUND</v>
      </c>
    </row>
    <row r="14">
      <c r="A14" s="5" t="str">
        <f>IFERROR(__xludf.DUMMYFUNCTION("IFERROR(VLOOKUP(TRIM(TO_TEXT(D14)), ITEM_MASTER!A:C, 3, FALSE), ""NOT FOUND"")"),"NOT FOUND")</f>
        <v>NOT FOUND</v>
      </c>
    </row>
    <row r="15">
      <c r="A15" s="5" t="str">
        <f>IFERROR(__xludf.DUMMYFUNCTION("IFERROR(VLOOKUP(TRIM(TO_TEXT(D15)), ITEM_MASTER!A:C, 3, FALSE), ""NOT FOUND"")"),"NOT FOUND")</f>
        <v>NOT FOUND</v>
      </c>
    </row>
    <row r="16">
      <c r="A16" s="5" t="str">
        <f>IFERROR(__xludf.DUMMYFUNCTION("IFERROR(VLOOKUP(TRIM(TO_TEXT(D16)), ITEM_MASTER!A:C, 3, FALSE), ""NOT FOUND"")"),"NOT FOUND")</f>
        <v>NOT FOUND</v>
      </c>
    </row>
    <row r="17">
      <c r="A17" s="5" t="str">
        <f>IFERROR(__xludf.DUMMYFUNCTION("IFERROR(VLOOKUP(TRIM(TO_TEXT(D17)), ITEM_MASTER!A:C, 3, FALSE), ""NOT FOUND"")"),"NOT FOUND")</f>
        <v>NOT FOUND</v>
      </c>
    </row>
    <row r="18">
      <c r="A18" s="5" t="str">
        <f>IFERROR(__xludf.DUMMYFUNCTION("IFERROR(VLOOKUP(TRIM(TO_TEXT(D18)), ITEM_MASTER!A:C, 3, FALSE), ""NOT FOUND"")"),"NOT FOUND")</f>
        <v>NOT FOUND</v>
      </c>
    </row>
    <row r="19">
      <c r="A19" s="5" t="str">
        <f>IFERROR(__xludf.DUMMYFUNCTION("IFERROR(VLOOKUP(TRIM(TO_TEXT(D19)), ITEM_MASTER!A:C, 3, FALSE), ""NOT FOUND"")"),"NOT FOUND")</f>
        <v>NOT FOUND</v>
      </c>
    </row>
    <row r="20">
      <c r="A20" s="5" t="str">
        <f>IFERROR(__xludf.DUMMYFUNCTION("IFERROR(VLOOKUP(TRIM(TO_TEXT(D20)), ITEM_MASTER!A:C, 3, FALSE), ""NOT FOUND"")"),"NOT FOUND")</f>
        <v>NOT FOUND</v>
      </c>
    </row>
    <row r="21">
      <c r="A21" s="5" t="str">
        <f>IFERROR(__xludf.DUMMYFUNCTION("IFERROR(VLOOKUP(TRIM(TO_TEXT(D21)), ITEM_MASTER!A:C, 3, FALSE), ""NOT FOUND"")"),"NOT FOUND")</f>
        <v>NOT FOUND</v>
      </c>
    </row>
    <row r="22">
      <c r="A22" s="5" t="str">
        <f>IFERROR(__xludf.DUMMYFUNCTION("IFERROR(VLOOKUP(TRIM(TO_TEXT(D22)), ITEM_MASTER!A:C, 3, FALSE), ""NOT FOUND"")"),"NOT FOUND")</f>
        <v>NOT FOUND</v>
      </c>
    </row>
    <row r="23">
      <c r="A23" s="5" t="str">
        <f>IFERROR(__xludf.DUMMYFUNCTION("IFERROR(VLOOKUP(TRIM(TO_TEXT(D23)), ITEM_MASTER!A:C, 3, FALSE), ""NOT FOUND"")"),"NOT FOUND")</f>
        <v>NOT FOUND</v>
      </c>
    </row>
    <row r="24">
      <c r="A24" s="5" t="str">
        <f>IFERROR(__xludf.DUMMYFUNCTION("IFERROR(VLOOKUP(TRIM(TO_TEXT(D24)), ITEM_MASTER!A:C, 3, FALSE), ""NOT FOUND"")"),"NOT FOUND")</f>
        <v>NOT FOUND</v>
      </c>
    </row>
    <row r="25">
      <c r="A25" s="5" t="str">
        <f>IFERROR(__xludf.DUMMYFUNCTION("IFERROR(VLOOKUP(TRIM(TO_TEXT(D25)), ITEM_MASTER!A:C, 3, FALSE), ""NOT FOUND"")"),"NOT FOUND")</f>
        <v>NOT FOUND</v>
      </c>
    </row>
    <row r="26">
      <c r="A26" s="5" t="str">
        <f>IFERROR(__xludf.DUMMYFUNCTION("IFERROR(VLOOKUP(TRIM(TO_TEXT(D26)), ITEM_MASTER!A:C, 3, FALSE), ""NOT FOUND"")"),"NOT FOUND")</f>
        <v>NOT FOUND</v>
      </c>
    </row>
    <row r="27">
      <c r="A27" s="5" t="str">
        <f>IFERROR(__xludf.DUMMYFUNCTION("IFERROR(VLOOKUP(TRIM(TO_TEXT(D27)), ITEM_MASTER!A:C, 3, FALSE), ""NOT FOUND"")"),"NOT FOUND")</f>
        <v>NOT FOUND</v>
      </c>
    </row>
    <row r="28">
      <c r="A28" s="5" t="str">
        <f>IFERROR(__xludf.DUMMYFUNCTION("IFERROR(VLOOKUP(TRIM(TO_TEXT(D28)), ITEM_MASTER!A:C, 3, FALSE), ""NOT FOUND"")"),"NOT FOUND")</f>
        <v>NOT FOUND</v>
      </c>
    </row>
    <row r="29">
      <c r="A29" s="5" t="str">
        <f>IFERROR(__xludf.DUMMYFUNCTION("IFERROR(VLOOKUP(TRIM(TO_TEXT(D29)), ITEM_MASTER!A:C, 3, FALSE), ""NOT FOUND"")"),"NOT FOUND")</f>
        <v>NOT FOUND</v>
      </c>
    </row>
    <row r="30">
      <c r="A30" s="5" t="str">
        <f>IFERROR(__xludf.DUMMYFUNCTION("IFERROR(VLOOKUP(TRIM(TO_TEXT(D30)), ITEM_MASTER!A:C, 3, FALSE), ""NOT FOUND"")"),"NOT FOUND")</f>
        <v>NOT FOUND</v>
      </c>
    </row>
    <row r="31">
      <c r="A31" s="5" t="str">
        <f>IFERROR(__xludf.DUMMYFUNCTION("IFERROR(VLOOKUP(TRIM(TO_TEXT(D31)), ITEM_MASTER!A:C, 3, FALSE), ""NOT FOUND"")"),"NOT FOUND")</f>
        <v>NOT FOUND</v>
      </c>
    </row>
    <row r="32">
      <c r="A32" s="5" t="str">
        <f>IFERROR(__xludf.DUMMYFUNCTION("IFERROR(VLOOKUP(TRIM(TO_TEXT(D32)), ITEM_MASTER!A:C, 3, FALSE), ""NOT FOUND"")"),"NOT FOUND")</f>
        <v>NOT FOUND</v>
      </c>
    </row>
    <row r="33">
      <c r="A33" s="5" t="str">
        <f>IFERROR(__xludf.DUMMYFUNCTION("IFERROR(VLOOKUP(TRIM(TO_TEXT(D33)), ITEM_MASTER!A:C, 3, FALSE), ""NOT FOUND"")"),"NOT FOUND")</f>
        <v>NOT FOUND</v>
      </c>
    </row>
    <row r="34">
      <c r="A34" s="5" t="str">
        <f>IFERROR(__xludf.DUMMYFUNCTION("IFERROR(VLOOKUP(TRIM(TO_TEXT(D34)), ITEM_MASTER!A:C, 3, FALSE), ""NOT FOUND"")"),"NOT FOUND")</f>
        <v>NOT FOUND</v>
      </c>
    </row>
    <row r="35">
      <c r="A35" s="5" t="str">
        <f>IFERROR(__xludf.DUMMYFUNCTION("IFERROR(VLOOKUP(TRIM(TO_TEXT(D35)), ITEM_MASTER!A:C, 3, FALSE), ""NOT FOUND"")"),"NOT FOUND")</f>
        <v>NOT FOUND</v>
      </c>
    </row>
    <row r="36">
      <c r="A36" s="5" t="str">
        <f>IFERROR(__xludf.DUMMYFUNCTION("IFERROR(VLOOKUP(TRIM(TO_TEXT(D36)), ITEM_MASTER!A:C, 3, FALSE), ""NOT FOUND"")"),"NOT FOUND")</f>
        <v>NOT FOUND</v>
      </c>
    </row>
    <row r="37">
      <c r="A37" s="5" t="str">
        <f>IFERROR(__xludf.DUMMYFUNCTION("IFERROR(VLOOKUP(TRIM(TO_TEXT(D37)), ITEM_MASTER!A:C, 3, FALSE), ""NOT FOUND"")"),"NOT FOUND")</f>
        <v>NOT FOUND</v>
      </c>
    </row>
    <row r="38">
      <c r="A38" s="5" t="str">
        <f>IFERROR(__xludf.DUMMYFUNCTION("IFERROR(VLOOKUP(TRIM(TO_TEXT(D38)), ITEM_MASTER!A:C, 3, FALSE), ""NOT FOUND"")"),"NOT FOUND")</f>
        <v>NOT FOUND</v>
      </c>
    </row>
    <row r="39">
      <c r="A39" s="5" t="str">
        <f>IFERROR(__xludf.DUMMYFUNCTION("IFERROR(VLOOKUP(TRIM(TO_TEXT(D39)), ITEM_MASTER!A:C, 3, FALSE), ""NOT FOUND"")"),"NOT FOUND")</f>
        <v>NOT FOUND</v>
      </c>
    </row>
    <row r="40">
      <c r="A40" s="5" t="str">
        <f>IFERROR(__xludf.DUMMYFUNCTION("IFERROR(VLOOKUP(TRIM(TO_TEXT(D40)), ITEM_MASTER!A:C, 3, FALSE), ""NOT FOUND"")"),"NOT FOUND")</f>
        <v>NOT FOUND</v>
      </c>
    </row>
    <row r="41">
      <c r="A41" s="5" t="str">
        <f>IFERROR(__xludf.DUMMYFUNCTION("IFERROR(VLOOKUP(TRIM(TO_TEXT(D41)), ITEM_MASTER!A:C, 3, FALSE), ""NOT FOUND"")"),"NOT FOUND")</f>
        <v>NOT FOUND</v>
      </c>
    </row>
    <row r="42">
      <c r="A42" s="5" t="str">
        <f>IFERROR(__xludf.DUMMYFUNCTION("IFERROR(VLOOKUP(TRIM(TO_TEXT(D42)), ITEM_MASTER!A:C, 3, FALSE), ""NOT FOUND"")"),"NOT FOUND")</f>
        <v>NOT FOUND</v>
      </c>
    </row>
    <row r="43">
      <c r="A43" s="5" t="str">
        <f>IFERROR(__xludf.DUMMYFUNCTION("IFERROR(VLOOKUP(TRIM(TO_TEXT(D43)), ITEM_MASTER!A:C, 3, FALSE), ""NOT FOUND"")"),"NOT FOUND")</f>
        <v>NOT FOUND</v>
      </c>
    </row>
    <row r="44">
      <c r="A44" s="5" t="str">
        <f>IFERROR(__xludf.DUMMYFUNCTION("IFERROR(VLOOKUP(TRIM(TO_TEXT(D44)), ITEM_MASTER!A:C, 3, FALSE), ""NOT FOUND"")"),"NOT FOUND")</f>
        <v>NOT FOUND</v>
      </c>
    </row>
    <row r="45">
      <c r="A45" s="5" t="str">
        <f>IFERROR(__xludf.DUMMYFUNCTION("IFERROR(VLOOKUP(TRIM(TO_TEXT(D45)), ITEM_MASTER!A:C, 3, FALSE), ""NOT FOUND"")"),"NOT FOUND")</f>
        <v>NOT FOUND</v>
      </c>
    </row>
    <row r="46">
      <c r="A46" s="5" t="str">
        <f>IFERROR(__xludf.DUMMYFUNCTION("IFERROR(VLOOKUP(TRIM(TO_TEXT(D46)), ITEM_MASTER!A:C, 3, FALSE), ""NOT FOUND"")"),"NOT FOUND")</f>
        <v>NOT FOUND</v>
      </c>
    </row>
    <row r="47">
      <c r="A47" s="5" t="str">
        <f>IFERROR(__xludf.DUMMYFUNCTION("IFERROR(VLOOKUP(TRIM(TO_TEXT(D47)), ITEM_MASTER!A:C, 3, FALSE), ""NOT FOUND"")"),"NOT FOUND")</f>
        <v>NOT FOUND</v>
      </c>
    </row>
    <row r="48">
      <c r="A48" s="5" t="str">
        <f>IFERROR(__xludf.DUMMYFUNCTION("IFERROR(VLOOKUP(TRIM(TO_TEXT(D48)), ITEM_MASTER!A:C, 3, FALSE), ""NOT FOUND"")"),"NOT FOUND")</f>
        <v>NOT FOUND</v>
      </c>
    </row>
    <row r="49">
      <c r="A49" s="5" t="str">
        <f>IFERROR(__xludf.DUMMYFUNCTION("IFERROR(VLOOKUP(TRIM(TO_TEXT(D49)), ITEM_MASTER!A:C, 3, FALSE), ""NOT FOUND"")"),"NOT FOUND")</f>
        <v>NOT FOUND</v>
      </c>
    </row>
    <row r="50">
      <c r="A50" s="5" t="str">
        <f>IFERROR(__xludf.DUMMYFUNCTION("IFERROR(VLOOKUP(TRIM(TO_TEXT(D50)), ITEM_MASTER!A:C, 3, FALSE), ""NOT FOUND"")"),"NOT FOUND")</f>
        <v>NOT FOUND</v>
      </c>
    </row>
    <row r="51">
      <c r="A51" s="5" t="str">
        <f>IFERROR(__xludf.DUMMYFUNCTION("IFERROR(VLOOKUP(TRIM(TO_TEXT(D51)), ITEM_MASTER!A:C, 3, FALSE), ""NOT FOUND"")"),"NOT FOUND")</f>
        <v>NOT FOUND</v>
      </c>
    </row>
    <row r="52">
      <c r="A52" s="5" t="str">
        <f>IFERROR(__xludf.DUMMYFUNCTION("IFERROR(VLOOKUP(TRIM(TO_TEXT(D52)), ITEM_MASTER!A:C, 3, FALSE), ""NOT FOUND"")"),"NOT FOUND")</f>
        <v>NOT FOUND</v>
      </c>
    </row>
    <row r="53">
      <c r="A53" s="5" t="str">
        <f>IFERROR(__xludf.DUMMYFUNCTION("IFERROR(VLOOKUP(TRIM(TO_TEXT(D53)), ITEM_MASTER!A:C, 3, FALSE), ""NOT FOUND"")"),"NOT FOUND")</f>
        <v>NOT FOUND</v>
      </c>
    </row>
    <row r="54">
      <c r="A54" s="5" t="str">
        <f>IFERROR(__xludf.DUMMYFUNCTION("IFERROR(VLOOKUP(TRIM(TO_TEXT(D54)), ITEM_MASTER!A:C, 3, FALSE), ""NOT FOUND"")"),"NOT FOUND")</f>
        <v>NOT FOUND</v>
      </c>
    </row>
    <row r="55">
      <c r="A55" s="5" t="str">
        <f>IFERROR(__xludf.DUMMYFUNCTION("IFERROR(VLOOKUP(TRIM(TO_TEXT(D55)), ITEM_MASTER!A:C, 3, FALSE), ""NOT FOUND"")"),"NOT FOUND")</f>
        <v>NOT FOUND</v>
      </c>
    </row>
    <row r="56">
      <c r="A56" s="5" t="str">
        <f>IFERROR(__xludf.DUMMYFUNCTION("IFERROR(VLOOKUP(TRIM(TO_TEXT(D56)), ITEM_MASTER!A:C, 3, FALSE), ""NOT FOUND"")"),"NOT FOUND")</f>
        <v>NOT FOUND</v>
      </c>
    </row>
    <row r="57">
      <c r="A57" s="5" t="str">
        <f>IFERROR(__xludf.DUMMYFUNCTION("IFERROR(VLOOKUP(TRIM(TO_TEXT(D57)), ITEM_MASTER!A:C, 3, FALSE), ""NOT FOUND"")"),"NOT FOUND")</f>
        <v>NOT FOUND</v>
      </c>
    </row>
    <row r="58">
      <c r="A58" s="5" t="str">
        <f>IFERROR(__xludf.DUMMYFUNCTION("IFERROR(VLOOKUP(TRIM(TO_TEXT(D58)), ITEM_MASTER!A:C, 3, FALSE), ""NOT FOUND"")"),"NOT FOUND")</f>
        <v>NOT FOUND</v>
      </c>
    </row>
    <row r="59">
      <c r="A59" s="5" t="str">
        <f>IFERROR(__xludf.DUMMYFUNCTION("IFERROR(VLOOKUP(TRIM(TO_TEXT(D59)), ITEM_MASTER!A:C, 3, FALSE), ""NOT FOUND"")"),"NOT FOUND")</f>
        <v>NOT FOUND</v>
      </c>
    </row>
    <row r="60">
      <c r="A60" s="5" t="str">
        <f>IFERROR(__xludf.DUMMYFUNCTION("IFERROR(VLOOKUP(TRIM(TO_TEXT(D60)), ITEM_MASTER!A:C, 3, FALSE), ""NOT FOUND"")"),"NOT FOUND")</f>
        <v>NOT FOUND</v>
      </c>
    </row>
    <row r="61">
      <c r="A61" s="5" t="str">
        <f>IFERROR(__xludf.DUMMYFUNCTION("IFERROR(VLOOKUP(TRIM(TO_TEXT(D61)), ITEM_MASTER!A:C, 3, FALSE), ""NOT FOUND"")"),"NOT FOUND")</f>
        <v>NOT FOUND</v>
      </c>
    </row>
    <row r="62">
      <c r="A62" s="5" t="str">
        <f>IFERROR(__xludf.DUMMYFUNCTION("IFERROR(VLOOKUP(TRIM(TO_TEXT(D62)), ITEM_MASTER!A:C, 3, FALSE), ""NOT FOUND"")"),"NOT FOUND")</f>
        <v>NOT FOUND</v>
      </c>
    </row>
    <row r="63">
      <c r="A63" s="5" t="str">
        <f>IFERROR(__xludf.DUMMYFUNCTION("IFERROR(VLOOKUP(TRIM(TO_TEXT(D63)), ITEM_MASTER!A:C, 3, FALSE), ""NOT FOUND"")"),"NOT FOUND")</f>
        <v>NOT FOUND</v>
      </c>
    </row>
    <row r="64">
      <c r="A64" s="5" t="str">
        <f>IFERROR(__xludf.DUMMYFUNCTION("IFERROR(VLOOKUP(TRIM(TO_TEXT(D64)), ITEM_MASTER!A:C, 3, FALSE), ""NOT FOUND"")"),"NOT FOUND")</f>
        <v>NOT FOUND</v>
      </c>
    </row>
    <row r="65">
      <c r="A65" s="5" t="str">
        <f>IFERROR(__xludf.DUMMYFUNCTION("IFERROR(VLOOKUP(TRIM(TO_TEXT(D65)), ITEM_MASTER!A:C, 3, FALSE), ""NOT FOUND"")"),"NOT FOUND")</f>
        <v>NOT FOUND</v>
      </c>
    </row>
    <row r="66">
      <c r="A66" s="5" t="str">
        <f>IFERROR(__xludf.DUMMYFUNCTION("IFERROR(VLOOKUP(TRIM(TO_TEXT(D66)), ITEM_MASTER!A:C, 3, FALSE), ""NOT FOUND"")"),"NOT FOUND")</f>
        <v>NOT FOUND</v>
      </c>
    </row>
    <row r="67">
      <c r="A67" s="5" t="str">
        <f>IFERROR(__xludf.DUMMYFUNCTION("IFERROR(VLOOKUP(TRIM(TO_TEXT(D67)), ITEM_MASTER!A:C, 3, FALSE), ""NOT FOUND"")"),"NOT FOUND")</f>
        <v>NOT FOUND</v>
      </c>
    </row>
    <row r="68">
      <c r="A68" s="5" t="str">
        <f>IFERROR(__xludf.DUMMYFUNCTION("IFERROR(VLOOKUP(TRIM(TO_TEXT(D68)), ITEM_MASTER!A:C, 3, FALSE), ""NOT FOUND"")"),"NOT FOUND")</f>
        <v>NOT FOUND</v>
      </c>
    </row>
    <row r="69">
      <c r="A69" s="5" t="str">
        <f>IFERROR(__xludf.DUMMYFUNCTION("IFERROR(VLOOKUP(TRIM(TO_TEXT(D69)), ITEM_MASTER!A:C, 3, FALSE), ""NOT FOUND"")"),"NOT FOUND")</f>
        <v>NOT FOUND</v>
      </c>
    </row>
    <row r="70">
      <c r="A70" s="5" t="str">
        <f>IFERROR(__xludf.DUMMYFUNCTION("IFERROR(VLOOKUP(TRIM(TO_TEXT(D70)), ITEM_MASTER!A:C, 3, FALSE), ""NOT FOUND"")"),"NOT FOUND")</f>
        <v>NOT FOUND</v>
      </c>
    </row>
    <row r="71">
      <c r="A71" s="5" t="str">
        <f>IFERROR(__xludf.DUMMYFUNCTION("IFERROR(VLOOKUP(TRIM(TO_TEXT(D71)), ITEM_MASTER!A:C, 3, FALSE), ""NOT FOUND"")"),"NOT FOUND")</f>
        <v>NOT FOUND</v>
      </c>
    </row>
    <row r="72">
      <c r="A72" s="5" t="str">
        <f>IFERROR(__xludf.DUMMYFUNCTION("IFERROR(VLOOKUP(TRIM(TO_TEXT(D72)), ITEM_MASTER!A:C, 3, FALSE), ""NOT FOUND"")"),"NOT FOUND")</f>
        <v>NOT FOUND</v>
      </c>
    </row>
    <row r="73">
      <c r="A73" s="5" t="str">
        <f>IFERROR(__xludf.DUMMYFUNCTION("IFERROR(VLOOKUP(TRIM(TO_TEXT(D73)), ITEM_MASTER!A:C, 3, FALSE), ""NOT FOUND"")"),"NOT FOUND")</f>
        <v>NOT FOUND</v>
      </c>
    </row>
    <row r="74">
      <c r="A74" s="5" t="str">
        <f>IFERROR(__xludf.DUMMYFUNCTION("IFERROR(VLOOKUP(TRIM(TO_TEXT(D74)), ITEM_MASTER!A:C, 3, FALSE), ""NOT FOUND"")"),"NOT FOUND")</f>
        <v>NOT FOUND</v>
      </c>
    </row>
    <row r="75">
      <c r="A75" s="5" t="str">
        <f>IFERROR(__xludf.DUMMYFUNCTION("IFERROR(VLOOKUP(TRIM(TO_TEXT(D75)), ITEM_MASTER!A:C, 3, FALSE), ""NOT FOUND"")"),"NOT FOUND")</f>
        <v>NOT FOUND</v>
      </c>
    </row>
    <row r="76">
      <c r="A76" s="5" t="str">
        <f>IFERROR(__xludf.DUMMYFUNCTION("IFERROR(VLOOKUP(TRIM(TO_TEXT(D76)), ITEM_MASTER!A:C, 3, FALSE), ""NOT FOUND"")"),"NOT FOUND")</f>
        <v>NOT FOUND</v>
      </c>
    </row>
    <row r="77">
      <c r="A77" s="5" t="str">
        <f>IFERROR(__xludf.DUMMYFUNCTION("IFERROR(VLOOKUP(TRIM(TO_TEXT(D77)), ITEM_MASTER!A:C, 3, FALSE), ""NOT FOUND"")"),"NOT FOUND")</f>
        <v>NOT FOUND</v>
      </c>
    </row>
    <row r="78">
      <c r="A78" s="5" t="str">
        <f>IFERROR(__xludf.DUMMYFUNCTION("IFERROR(VLOOKUP(TRIM(TO_TEXT(D78)), ITEM_MASTER!A:C, 3, FALSE), ""NOT FOUND"")"),"NOT FOUND")</f>
        <v>NOT FOUND</v>
      </c>
    </row>
    <row r="79">
      <c r="A79" s="5" t="str">
        <f>IFERROR(__xludf.DUMMYFUNCTION("IFERROR(VLOOKUP(TRIM(TO_TEXT(D79)), ITEM_MASTER!A:C, 3, FALSE), ""NOT FOUND"")"),"NOT FOUND")</f>
        <v>NOT FOUND</v>
      </c>
    </row>
    <row r="80">
      <c r="A80" s="5" t="str">
        <f>IFERROR(__xludf.DUMMYFUNCTION("IFERROR(VLOOKUP(TRIM(TO_TEXT(D80)), ITEM_MASTER!A:C, 3, FALSE), ""NOT FOUND"")"),"NOT FOUND")</f>
        <v>NOT FOUND</v>
      </c>
    </row>
    <row r="81">
      <c r="A81" s="5" t="str">
        <f>IFERROR(__xludf.DUMMYFUNCTION("IFERROR(VLOOKUP(TRIM(TO_TEXT(D81)), ITEM_MASTER!A:C, 3, FALSE), ""NOT FOUND"")"),"NOT FOUND")</f>
        <v>NOT FOUND</v>
      </c>
    </row>
    <row r="82">
      <c r="A82" s="5" t="str">
        <f>IFERROR(__xludf.DUMMYFUNCTION("IFERROR(VLOOKUP(TRIM(TO_TEXT(D82)), ITEM_MASTER!A:C, 3, FALSE), ""NOT FOUND"")"),"NOT FOUND")</f>
        <v>NOT FOUND</v>
      </c>
    </row>
    <row r="83">
      <c r="A83" s="5" t="str">
        <f>IFERROR(__xludf.DUMMYFUNCTION("IFERROR(VLOOKUP(TRIM(TO_TEXT(D83)), ITEM_MASTER!A:C, 3, FALSE), ""NOT FOUND"")"),"NOT FOUND")</f>
        <v>NOT FOUND</v>
      </c>
    </row>
    <row r="84">
      <c r="A84" s="5" t="str">
        <f>IFERROR(__xludf.DUMMYFUNCTION("IFERROR(VLOOKUP(TRIM(TO_TEXT(D84)), ITEM_MASTER!A:C, 3, FALSE), ""NOT FOUND"")"),"NOT FOUND")</f>
        <v>NOT FOUND</v>
      </c>
    </row>
    <row r="85">
      <c r="A85" s="5" t="str">
        <f>IFERROR(__xludf.DUMMYFUNCTION("IFERROR(VLOOKUP(TRIM(TO_TEXT(D85)), ITEM_MASTER!A:C, 3, FALSE), ""NOT FOUND"")"),"NOT FOUND")</f>
        <v>NOT FOUND</v>
      </c>
    </row>
    <row r="86">
      <c r="A86" s="5" t="str">
        <f>IFERROR(__xludf.DUMMYFUNCTION("IFERROR(VLOOKUP(TRIM(TO_TEXT(D86)), ITEM_MASTER!A:C, 3, FALSE), ""NOT FOUND"")"),"NOT FOUND")</f>
        <v>NOT FOUND</v>
      </c>
    </row>
    <row r="87">
      <c r="A87" s="5" t="str">
        <f>IFERROR(__xludf.DUMMYFUNCTION("IFERROR(VLOOKUP(TRIM(TO_TEXT(D87)), ITEM_MASTER!A:C, 3, FALSE), ""NOT FOUND"")"),"NOT FOUND")</f>
        <v>NOT FOUND</v>
      </c>
    </row>
  </sheetData>
  <drawing r:id="rId1"/>
</worksheet>
</file>