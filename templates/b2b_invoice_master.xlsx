
<file path=[Content_Types].xml><?xml version="1.0" encoding="utf-8"?>
<Types xmlns="http://schemas.openxmlformats.org/package/2006/content-types">
  <Default Extension="png" ContentType="image/png"/>
  <Default Extension="jpg" ContentType="image/jp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ASTER" state="visible" r:id="rId4"/>
    <sheet sheetId="2" name="ITEM_MASTER" state="visible" r:id="rId5"/>
    <sheet sheetId="3" name="INPUT" state="visible" r:id="rId6"/>
  </sheets>
  <calcPr calcId="171027"/>
</workbook>
</file>

<file path=xl/sharedStrings.xml><?xml version="1.0" encoding="utf-8"?>
<sst xmlns="http://schemas.openxmlformats.org/spreadsheetml/2006/main" count="611" uniqueCount="287">
  <si>
    <t>PMC CORPORATION</t>
  </si>
  <si>
    <t xml:space="preserve">#309, 274 Samsung-ro, Yeongtong-gu, 
Suwon-si, Gyeonggi-do, Republic of Korea  16522</t>
  </si>
  <si>
    <t>E-mail: info@ccorea.com</t>
  </si>
  <si>
    <t xml:space="preserve"> INVOICE</t>
  </si>
  <si>
    <t>Messrs. :Milan Niels / EvoCards</t>
  </si>
  <si>
    <t>no:cc260121EVO</t>
  </si>
  <si>
    <t>Ziegeleistraße 23, 21423 Winsen Luhe, Germany</t>
  </si>
  <si>
    <t>info@evo-cards.de /+49 1520 9504190</t>
  </si>
  <si>
    <r>
      <rPr>
        <b/>
        <color theme="1"/>
        <sz val="11"/>
        <rFont val="Tahoma"/>
      </rPr>
      <t>VAT</t>
    </r>
    <r>
      <rPr>
        <color theme="1"/>
        <sz val="11"/>
        <rFont val="Tahoma"/>
      </rPr>
      <t>: DE456630518</t>
    </r>
  </si>
  <si>
    <r>
      <rPr>
        <b/>
        <color rgb="FF222222"/>
        <rFont val="Tahoma"/>
      </rPr>
      <t>EORI</t>
    </r>
    <r>
      <rPr>
        <color rgb="FF222222"/>
        <rFont val="Tahoma"/>
      </rPr>
      <t>: DE638885575817721</t>
    </r>
  </si>
  <si>
    <t>We have a pleasure to offer you the following products on terms &amp; conditions as below details:</t>
  </si>
  <si>
    <t>Date</t>
  </si>
  <si>
    <t>:</t>
  </si>
  <si>
    <t>Jan.21,2026</t>
  </si>
  <si>
    <t>Shipping terms</t>
  </si>
  <si>
    <t xml:space="preserve">FOB </t>
  </si>
  <si>
    <t>Packing</t>
  </si>
  <si>
    <t>Export Standard Packing</t>
  </si>
  <si>
    <t>Payment</t>
  </si>
  <si>
    <t>100% T/T in advance</t>
  </si>
  <si>
    <t>Delivery</t>
  </si>
  <si>
    <t>Asap after payment</t>
  </si>
  <si>
    <t>Origin</t>
  </si>
  <si>
    <t>Republic of Korea</t>
  </si>
  <si>
    <t>NO.</t>
  </si>
  <si>
    <t>ITEM</t>
  </si>
  <si>
    <t>Q'ty</t>
  </si>
  <si>
    <t>Unit Price</t>
  </si>
  <si>
    <t>Amount</t>
  </si>
  <si>
    <t>shipping charge</t>
  </si>
  <si>
    <t>TOTAL</t>
  </si>
  <si>
    <t>box</t>
  </si>
  <si>
    <t>Looking forward to your valued order for above invoice.</t>
  </si>
  <si>
    <t>Payment Information</t>
  </si>
  <si>
    <t>-Paypal payment</t>
  </si>
  <si>
    <t>toonier@naver.com</t>
  </si>
  <si>
    <t>-wise payment</t>
  </si>
  <si>
    <t>recepient: PMC Corporation</t>
  </si>
  <si>
    <t>signed by</t>
  </si>
  <si>
    <t>alias</t>
  </si>
  <si>
    <t>id</t>
  </si>
  <si>
    <t>full_name</t>
  </si>
  <si>
    <t>POKEMON CARDS LIST</t>
  </si>
  <si>
    <t>Battle Partners</t>
  </si>
  <si>
    <t>sv9</t>
  </si>
  <si>
    <t>Pokemon Card Game Scarlet &amp; Violet Battle Partners sv9 Booster Box</t>
  </si>
  <si>
    <t>Battle</t>
  </si>
  <si>
    <t>151</t>
  </si>
  <si>
    <t>sv2a</t>
  </si>
  <si>
    <t>Pokemon Card Game Scarlet &amp; Violet 151 sv2a Booster Box</t>
  </si>
  <si>
    <t>Super Electric Breaker</t>
  </si>
  <si>
    <t>sv8</t>
  </si>
  <si>
    <t>Pokemon Card Game Scarlet &amp; Violet Super Electric Breaker sv8 Booster Box</t>
  </si>
  <si>
    <t>Electric</t>
  </si>
  <si>
    <t>Electric Breaker</t>
  </si>
  <si>
    <t>Paradise Dragona</t>
  </si>
  <si>
    <t>sv7a</t>
  </si>
  <si>
    <t>Pokemon Card Game Scarlet &amp; Violet Paradise Dragona sv7a Booster Box</t>
  </si>
  <si>
    <t>Paradise</t>
  </si>
  <si>
    <t>Dragona</t>
  </si>
  <si>
    <t>Ruler of the Black Flame</t>
  </si>
  <si>
    <t>sv3</t>
  </si>
  <si>
    <t>Pokemon Card Game Scarlet &amp; Violet Ruler of the Black Flame sv3 Booster Box</t>
  </si>
  <si>
    <t>Black Flame</t>
  </si>
  <si>
    <t>Ruler</t>
  </si>
  <si>
    <t>Crimson Haze</t>
  </si>
  <si>
    <t>sv5a</t>
  </si>
  <si>
    <t>Pokemon Card Game Scarlet &amp; Violet Crimson Haze sv5a Booster Box</t>
  </si>
  <si>
    <t>Crimson</t>
  </si>
  <si>
    <t>Eevee Heroes</t>
  </si>
  <si>
    <t>s6a</t>
  </si>
  <si>
    <t>Pokemon Card Game Sword &amp; Shield Eevee Heroes s6a Booster Box</t>
  </si>
  <si>
    <t>Eevee</t>
  </si>
  <si>
    <t>Night Wanderer</t>
  </si>
  <si>
    <t>sv6a</t>
  </si>
  <si>
    <t>Pokemon Card Game Scarlet &amp; Violet Night Wanderer sv6a Booster Box</t>
  </si>
  <si>
    <t>NIght</t>
  </si>
  <si>
    <t>Stellar Miracle</t>
  </si>
  <si>
    <t>sv7</t>
  </si>
  <si>
    <t>Pokemon Card Game Scarlet &amp; Violet Stellar Miracle sv7 Booster Box</t>
  </si>
  <si>
    <t>Stellar</t>
  </si>
  <si>
    <t>Raging Surf</t>
  </si>
  <si>
    <t>sv3a</t>
  </si>
  <si>
    <t>Pokemon Card Game Scarlet &amp; Violet Raging Surf sv3a Booster Box</t>
  </si>
  <si>
    <t>Raging</t>
  </si>
  <si>
    <t>Wild Force</t>
  </si>
  <si>
    <t>sv5k</t>
  </si>
  <si>
    <t>Pokemon Card Game Scarlet &amp; Violet Wild Force sv5k Booster Box</t>
  </si>
  <si>
    <t>Wild</t>
  </si>
  <si>
    <t>Lost Abyss</t>
  </si>
  <si>
    <t>s11</t>
  </si>
  <si>
    <t>Pokemon Card Game Sword &amp; Shield Lost Abyss s11 Booster Box</t>
  </si>
  <si>
    <t>Lost</t>
  </si>
  <si>
    <t>Abyss</t>
  </si>
  <si>
    <t>Skyscraper Perfect</t>
  </si>
  <si>
    <t>s7d</t>
  </si>
  <si>
    <t>Pokemon Card Game Sword &amp; Shield Skyscraper Perfect s7d Booster Box</t>
  </si>
  <si>
    <t>Skyscraper</t>
  </si>
  <si>
    <t>Sky perfect</t>
  </si>
  <si>
    <t>Incandescent Arcana</t>
  </si>
  <si>
    <t>s11a</t>
  </si>
  <si>
    <t>Pokemon Card Game Sword &amp; Shield Incandescent Arcana s11a Booster Box</t>
  </si>
  <si>
    <t>Arcana</t>
  </si>
  <si>
    <t>Incandescent</t>
  </si>
  <si>
    <t>Space Juggler</t>
  </si>
  <si>
    <t>s10p</t>
  </si>
  <si>
    <t>Pokemon Card Game Sword &amp; Shield Space Juggler s10p Booster Box</t>
  </si>
  <si>
    <t>Juggler</t>
  </si>
  <si>
    <t>Time Gazer</t>
  </si>
  <si>
    <t>s10d</t>
  </si>
  <si>
    <t>Pokemon Card Game Sword &amp; Shield Time Gazer s10d Booster Box</t>
  </si>
  <si>
    <t>Time</t>
  </si>
  <si>
    <t>Silver Lance</t>
  </si>
  <si>
    <t>s6h</t>
  </si>
  <si>
    <t>Pokemon Card Game Sword &amp; Shield Silver Lance s6h Booster Box</t>
  </si>
  <si>
    <t>Silver</t>
  </si>
  <si>
    <t>Explosive Flame Walker</t>
  </si>
  <si>
    <t>s2a</t>
  </si>
  <si>
    <t>Pokemon Card Game Sword &amp; Shield Explosive Flame Walker s2a Booster Box</t>
  </si>
  <si>
    <t>Flame Walker</t>
  </si>
  <si>
    <t>Rapid Strike Master</t>
  </si>
  <si>
    <t>s5r</t>
  </si>
  <si>
    <t>Pokemon Card Game Sword &amp; Shield Rapid Strike Master s5r Booster Box</t>
  </si>
  <si>
    <t>Rapid Strike</t>
  </si>
  <si>
    <t>Rebellion Crash</t>
  </si>
  <si>
    <t>s2</t>
  </si>
  <si>
    <t>Pokemon Card Game Sword &amp; Shield Rebellion Crash s2 Booster Box</t>
  </si>
  <si>
    <t>Rebellion</t>
  </si>
  <si>
    <t>Matchless Fighter</t>
  </si>
  <si>
    <t>s5a</t>
  </si>
  <si>
    <t>Pokemon Card Game Sword &amp; Shield Matchless Fighter s5a Booster Box</t>
  </si>
  <si>
    <t>Matchless</t>
  </si>
  <si>
    <t>VMAX Climax</t>
  </si>
  <si>
    <t>s8b</t>
  </si>
  <si>
    <t>Pokemon Card Game Sword &amp; Shield VMAX Climax s8b</t>
  </si>
  <si>
    <t>Climax</t>
  </si>
  <si>
    <t>VMAX</t>
  </si>
  <si>
    <t>Shiny Star V</t>
  </si>
  <si>
    <t>s4a</t>
  </si>
  <si>
    <t>Pokemon Card Game Sword &amp; Shield Shiny Star V s4a</t>
  </si>
  <si>
    <t>Shiny Star</t>
  </si>
  <si>
    <t>Glory of Team Rocket</t>
  </si>
  <si>
    <t>sv10</t>
  </si>
  <si>
    <t>Pokemon Card Game Scarlet &amp; Violet Glory of Team Rocket sv10 Booster Box</t>
  </si>
  <si>
    <t>Glory</t>
  </si>
  <si>
    <t>Rocket</t>
  </si>
  <si>
    <t>Team Rocket</t>
  </si>
  <si>
    <t>Black Bolt</t>
  </si>
  <si>
    <t>sv11b</t>
  </si>
  <si>
    <t>Pokemon Card Game Scarlet &amp; Violet Black Bolt sv11b Booster Box</t>
  </si>
  <si>
    <t>Black</t>
  </si>
  <si>
    <t>BB</t>
  </si>
  <si>
    <t>Mega Symphonia</t>
  </si>
  <si>
    <t>m1s</t>
  </si>
  <si>
    <t>Pokemon Card Game MEGA Mega Symphonia m1S Booster Box</t>
  </si>
  <si>
    <t>Symphonia</t>
  </si>
  <si>
    <t>Mega Inferno X</t>
  </si>
  <si>
    <t>m2</t>
  </si>
  <si>
    <t>Pokemon Card Game MEGA Mega Inferno X m2 Booster Box</t>
  </si>
  <si>
    <t>Inferno X</t>
  </si>
  <si>
    <t>Inferno</t>
  </si>
  <si>
    <t>VSTAR Universe</t>
  </si>
  <si>
    <t>s12a</t>
  </si>
  <si>
    <t>Pokemon Card Game Sword &amp; Shield VSTAR Universe s12a</t>
  </si>
  <si>
    <t>Universe</t>
  </si>
  <si>
    <t>VSTAR</t>
  </si>
  <si>
    <t>Dark Phantasma</t>
  </si>
  <si>
    <t>s10a</t>
  </si>
  <si>
    <t>Pokemon Card Game Sword &amp; Shield Dark Phantasma s10a Booster Box</t>
  </si>
  <si>
    <t>Phantasma</t>
  </si>
  <si>
    <t>Dark</t>
  </si>
  <si>
    <t>Terastal Festival ex</t>
  </si>
  <si>
    <t>sv8a</t>
  </si>
  <si>
    <t>Pokemon Card Game Scarlet &amp; Violet Terastal Festival ex sv8a Booster Box</t>
  </si>
  <si>
    <t>Terastal</t>
  </si>
  <si>
    <t>Tera</t>
  </si>
  <si>
    <t>Shiny Treasure ex</t>
  </si>
  <si>
    <t>sv4a</t>
  </si>
  <si>
    <t>Pokemon Card Game Scarlet &amp; Violet Shiny Treasure ex sv4a</t>
  </si>
  <si>
    <t>Shiny</t>
  </si>
  <si>
    <t xml:space="preserve">Shiny Treasure </t>
  </si>
  <si>
    <t>Cyber Judge</t>
  </si>
  <si>
    <t>sv5m</t>
  </si>
  <si>
    <t>Pokemon Card Game Scarlet &amp; Violet Cyber Judge sv5m Booster Box</t>
  </si>
  <si>
    <t>Cyber</t>
  </si>
  <si>
    <t>Ancient Roar</t>
  </si>
  <si>
    <t>sv4k</t>
  </si>
  <si>
    <t>Pokemon Card Game Scarlet &amp; Violet Ancient Roar sv4k Booster Box</t>
  </si>
  <si>
    <t>Ancient</t>
  </si>
  <si>
    <t>Future Flash</t>
  </si>
  <si>
    <t>sv4m</t>
  </si>
  <si>
    <t>Pokemon Card Game Scarlet &amp; Violet Future Flash sv4m Booster Box</t>
  </si>
  <si>
    <t>Future</t>
  </si>
  <si>
    <t>Clay Burst</t>
  </si>
  <si>
    <t>sv2d</t>
  </si>
  <si>
    <t>Pokemon Card Game Scarlet &amp; Violet Clay Burst sv2d Booster Box</t>
  </si>
  <si>
    <t>Clay</t>
  </si>
  <si>
    <t>Snow Hazard</t>
  </si>
  <si>
    <t>sv2p</t>
  </si>
  <si>
    <t>Pokemon Card Game Scarlet &amp; Violet Snow Hazard sv2p Booster Box</t>
  </si>
  <si>
    <t>Snow</t>
  </si>
  <si>
    <t>Triplet Beat</t>
  </si>
  <si>
    <t>sv1a</t>
  </si>
  <si>
    <t>Pokemon Card Game Scarlet &amp; Violet Triplet Beat sv1a Booster Box</t>
  </si>
  <si>
    <t>Triplet</t>
  </si>
  <si>
    <t>Scarlet ex</t>
  </si>
  <si>
    <t>sv1v</t>
  </si>
  <si>
    <t>Pokemon Card Game Scarlet &amp; Violet Scarlet ex sv1v Booster Box</t>
  </si>
  <si>
    <t>Scarlet</t>
  </si>
  <si>
    <t>Violet ex</t>
  </si>
  <si>
    <t>sv1s</t>
  </si>
  <si>
    <t>Pokemon Card Game Scarlet &amp; Violet Violet ex sv1s Booster Box</t>
  </si>
  <si>
    <t xml:space="preserve">Violet </t>
  </si>
  <si>
    <t>Paradigm Trigger</t>
  </si>
  <si>
    <t>s12</t>
  </si>
  <si>
    <t>Pokemon Card Game Sword &amp; Shield Paradigm Trigger s12 Booster Box</t>
  </si>
  <si>
    <t>Paradigm</t>
  </si>
  <si>
    <t>Battle Region</t>
  </si>
  <si>
    <t>s9a</t>
  </si>
  <si>
    <t>Pokemon Card Game Sword &amp; Shield Battle Region s9a Booster Box</t>
  </si>
  <si>
    <t>Region</t>
  </si>
  <si>
    <t>Star Birth</t>
  </si>
  <si>
    <t>s9</t>
  </si>
  <si>
    <t>Pokemon Card Game Sword &amp; Shield Star Birth s9 Booster Box</t>
  </si>
  <si>
    <t>Star</t>
  </si>
  <si>
    <t>Blue Sky Stream</t>
  </si>
  <si>
    <t>s7r</t>
  </si>
  <si>
    <t>Pokemon Card Game Sword &amp; Shield Blue Sky Stream s7r Booster Box</t>
  </si>
  <si>
    <t>Blue Sky</t>
  </si>
  <si>
    <t>Fusion Arts</t>
  </si>
  <si>
    <t>s8</t>
  </si>
  <si>
    <t>Pokemon Card Game Sword &amp; Shield Fusion Arts s8 Booster Box</t>
  </si>
  <si>
    <t>Fusion</t>
  </si>
  <si>
    <t>Astonishing Volt Tackle</t>
  </si>
  <si>
    <t>s4</t>
  </si>
  <si>
    <t>Pokemon Card Game Sword &amp; Shield Astonishing Volt Tackle s4 Booster Box</t>
  </si>
  <si>
    <t>Astonishing</t>
  </si>
  <si>
    <t>Volt Tackle</t>
  </si>
  <si>
    <t>Legendary Heartbeat</t>
  </si>
  <si>
    <t>s3a</t>
  </si>
  <si>
    <t>Pokemon Card Game Sword &amp; Shield Legendary Heartbeat s3a Booster Box</t>
  </si>
  <si>
    <t>Legendary</t>
  </si>
  <si>
    <t>Infinity Zone</t>
  </si>
  <si>
    <t>s3</t>
  </si>
  <si>
    <t>Pokemon Card Game Sword &amp; Shield Infinity Zone s3 Booster Box</t>
  </si>
  <si>
    <t>Infinity</t>
  </si>
  <si>
    <t>VMAX Rising</t>
  </si>
  <si>
    <t>s1a</t>
  </si>
  <si>
    <t>Pokemon Card Game Sword &amp; Shield VMAX Rising s1a Booster Box</t>
  </si>
  <si>
    <t>Single Strike Master</t>
  </si>
  <si>
    <t>s5i</t>
  </si>
  <si>
    <t>Pokemon Card Game Sword &amp; Shield Single Strike Master s5i Booster Box</t>
  </si>
  <si>
    <t>Single Strike</t>
  </si>
  <si>
    <t>Jet Black Geist</t>
  </si>
  <si>
    <t>s6k</t>
  </si>
  <si>
    <t>Pokemon Card Game Sword &amp; Shield Jet Black Geist s6k Booster Box</t>
  </si>
  <si>
    <t>Jet Black</t>
  </si>
  <si>
    <t>Sword V</t>
  </si>
  <si>
    <t>s1w</t>
  </si>
  <si>
    <t>Pokemon Card Game Sword &amp; Shield Sword V s1w Booster Box</t>
  </si>
  <si>
    <t xml:space="preserve">Sword </t>
  </si>
  <si>
    <t>Heat Wave Arena</t>
  </si>
  <si>
    <t>sv9a</t>
  </si>
  <si>
    <t>Pokemon Card Game Scarlet &amp; Violet Heat Wave Arena sv9a Booster Box</t>
  </si>
  <si>
    <t xml:space="preserve">Heat Wave </t>
  </si>
  <si>
    <t>Arena</t>
  </si>
  <si>
    <t>White Flare</t>
  </si>
  <si>
    <t>sv11w</t>
  </si>
  <si>
    <t>Pokemon Card Game Scarlet &amp; Violet White Flare sv11w Booster Box</t>
  </si>
  <si>
    <t>White</t>
  </si>
  <si>
    <t>Mega Brave</t>
  </si>
  <si>
    <t>m1L</t>
  </si>
  <si>
    <t>Pokemon Card Game MEGA Mega Brave m1L Booster Box</t>
  </si>
  <si>
    <t>Brave</t>
  </si>
  <si>
    <t>Mega Dream EX</t>
  </si>
  <si>
    <t>m2a</t>
  </si>
  <si>
    <t>Pokemon Card Game MEGA Mega Dream EX m2a Booster Box</t>
  </si>
  <si>
    <t>Dream</t>
  </si>
  <si>
    <t>Dream ex</t>
  </si>
  <si>
    <t>Mega Dream</t>
  </si>
  <si>
    <t>ONE PIECE CARDS LIST</t>
  </si>
  <si>
    <t>full name</t>
  </si>
  <si>
    <t>qty</t>
  </si>
  <si>
    <t>unit_price</t>
  </si>
  <si>
    <t>input_alias</t>
  </si>
  <si>
    <t>LOST</t>
  </si>
  <si>
    <t>CLAY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</si>
</sst>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mm/dd/yyyy"/>
    <numFmt numFmtId="165" formatCode="yyyy-mm-dd"/>
    <numFmt numFmtId="166" formatCode="[$$]#,##0"/>
    <numFmt numFmtId="167" formatCode="&quot;₩&quot;#,##0_);[Red](&quot;₩&quot;#,##0)"/>
    <numFmt numFmtId="168" formatCode="[$₩-412]#,##0"/>
  </numFmts>
  <fonts count="23" x14ac:knownFonts="1">
    <font>
      <color theme="1"/>
      <family val="2"/>
      <scheme val="minor"/>
      <sz val="11"/>
      <name val="Calibri"/>
    </font>
    <font>
      <b/>
      <color theme="1"/>
      <sz val="22"/>
      <name val="Tahoma"/>
    </font>
    <font>
      <color theme="1"/>
      <sz val="11"/>
      <name val="Tahoma"/>
    </font>
    <font>
      <b/>
      <u/>
      <color theme="1"/>
      <sz val="28"/>
      <name val="Tahoma"/>
    </font>
    <font>
      <color theme="1"/>
      <name val="Calibri"/>
    </font>
    <font>
      <b/>
      <u/>
      <color theme="1"/>
      <sz val="11"/>
      <name val="Tahoma"/>
    </font>
    <font>
      <b/>
      <color theme="1"/>
      <sz val="11"/>
      <name val="Tahoma"/>
    </font>
    <font>
      <color rgb="FF0563C1"/>
      <sz val="11"/>
      <name val="Malgun Gothic"/>
    </font>
    <font>
      <color rgb="FF333333"/>
      <sz val="11"/>
      <name val="Tahoma"/>
    </font>
    <font>
      <color rgb="FF222222"/>
      <name val="Tahoma"/>
    </font>
    <font>
      <color theme="1"/>
      <sz val="11"/>
      <name val="Malgun Gothic"/>
    </font>
    <font>
      <b/>
      <color theme="1"/>
      <sz val="12"/>
      <name val="Malgun Gothic"/>
    </font>
    <font/>
    <font>
      <color rgb="FF000000"/>
      <sz val="11"/>
      <name val="Tahoma"/>
    </font>
    <font>
      <b/>
      <u/>
      <color theme="1"/>
      <sz val="12"/>
      <name val="Tahoma"/>
    </font>
    <font>
      <b/>
      <color theme="1"/>
      <sz val="11"/>
      <name val="Malgun Gothic"/>
    </font>
    <font>
      <color rgb="FF303030"/>
      <sz val="10"/>
      <name val="Quattrocento Sans"/>
    </font>
    <font>
      <u/>
      <color theme="1"/>
      <sz val="11"/>
      <name val="Malgun Gothic"/>
    </font>
    <font>
      <color theme="1"/>
      <sz val="11"/>
      <name val="Calibri"/>
    </font>
    <font>
      <b/>
      <color theme="1"/>
      <sz val="11"/>
      <name val="Calibri"/>
    </font>
    <font>
      <color theme="1"/>
      <strike/>
      <sz val="11"/>
      <name val="Malgun Gothic"/>
    </font>
    <font>
      <b/>
      <color theme="1"/>
      <sz val="13"/>
      <name val="Calibri"/>
    </font>
    <font>
      <b/>
      <i/>
      <color theme="1"/>
      <sz val="18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</fills>
  <borders count="39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7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left" vertical="center"/>
    </xf>
    <xf numFmtId="0" fontId="8" fillId="0" borderId="0" xfId="0" applyFont="1" applyAlignment="1">
      <alignment vertical="center"/>
    </xf>
    <xf numFmtId="0" fontId="9" fillId="2" borderId="0" xfId="0" applyFont="1" applyFill="1" applyAlignment="1">
      <alignment vertical="center"/>
    </xf>
    <xf numFmtId="0" fontId="2" fillId="0" borderId="0" xfId="0" applyFont="1" applyAlignment="1">
      <alignment horizontal="left" vertical="center" wrapText="1"/>
    </xf>
    <xf numFmtId="0" fontId="10" fillId="0" borderId="0" xfId="0" applyFont="1" applyAlignment="1">
      <alignment vertical="center" wrapText="1"/>
    </xf>
    <xf numFmtId="165" fontId="10" fillId="0" borderId="0" xfId="0" applyNumberFormat="1" applyFont="1" applyAlignment="1">
      <alignment vertical="center" wrapText="1"/>
    </xf>
    <xf numFmtId="0" fontId="11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vertical="center"/>
    </xf>
    <xf numFmtId="164" fontId="10" fillId="0" borderId="0" xfId="0" applyNumberFormat="1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0" fontId="12" fillId="0" borderId="4" xfId="0" applyFont="1" applyBorder="1" applyAlignment="1">
      <alignment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12" fillId="0" borderId="9" xfId="0" applyFont="1" applyBorder="1" applyAlignment="1">
      <alignment vertical="center"/>
    </xf>
    <xf numFmtId="0" fontId="12" fillId="0" borderId="10" xfId="0" applyFont="1" applyBorder="1" applyAlignment="1">
      <alignment vertical="center"/>
    </xf>
    <xf numFmtId="0" fontId="2" fillId="0" borderId="11" xfId="0" applyFont="1" applyBorder="1" applyAlignment="1">
      <alignment horizontal="center" vertical="center"/>
    </xf>
    <xf numFmtId="0" fontId="12" fillId="0" borderId="12" xfId="0" applyFont="1" applyBorder="1" applyAlignment="1">
      <alignment vertical="center"/>
    </xf>
    <xf numFmtId="166" fontId="13" fillId="0" borderId="13" xfId="0" applyNumberFormat="1" applyFont="1" applyBorder="1" applyAlignment="1">
      <alignment vertical="center"/>
    </xf>
    <xf numFmtId="166" fontId="2" fillId="0" borderId="14" xfId="0" applyNumberFormat="1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0" fontId="6" fillId="0" borderId="16" xfId="0" applyFont="1" applyBorder="1" applyAlignment="1">
      <alignment vertical="center"/>
    </xf>
    <xf numFmtId="0" fontId="6" fillId="0" borderId="17" xfId="0" applyFont="1" applyBorder="1" applyAlignment="1">
      <alignment vertical="center"/>
    </xf>
    <xf numFmtId="167" fontId="6" fillId="0" borderId="18" xfId="0" applyNumberFormat="1" applyFont="1" applyBorder="1" applyAlignment="1">
      <alignment vertical="center"/>
    </xf>
    <xf numFmtId="166" fontId="2" fillId="0" borderId="19" xfId="0" applyNumberFormat="1" applyFont="1" applyBorder="1" applyAlignment="1">
      <alignment vertical="center"/>
    </xf>
    <xf numFmtId="0" fontId="2" fillId="0" borderId="0" xfId="0" applyFont="1" applyAlignment="1">
      <alignment vertical="bottom"/>
    </xf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17" fillId="0" borderId="0" xfId="0" applyFont="1" applyAlignment="1">
      <alignment vertical="center"/>
    </xf>
    <xf numFmtId="0" fontId="4" fillId="2" borderId="0" xfId="0" applyFont="1" applyFill="1" applyAlignment="1">
      <alignment vertical="center"/>
    </xf>
    <xf numFmtId="0" fontId="15" fillId="0" borderId="0" xfId="0" applyFont="1" applyAlignment="1">
      <alignment horizontal="left" vertical="center"/>
    </xf>
    <xf numFmtId="0" fontId="18" fillId="2" borderId="0" xfId="0" applyFont="1" applyFill="1" applyAlignment="1">
      <alignment vertical="center"/>
    </xf>
    <xf numFmtId="0" fontId="19" fillId="2" borderId="0" xfId="0" applyFont="1" applyFill="1" applyAlignment="1">
      <alignment vertical="center"/>
    </xf>
    <xf numFmtId="168" fontId="18" fillId="2" borderId="0" xfId="0" applyNumberFormat="1" applyFont="1" applyFill="1" applyAlignment="1">
      <alignment vertical="center"/>
    </xf>
    <xf numFmtId="0" fontId="10" fillId="0" borderId="0" xfId="0" applyFont="1" applyAlignment="1">
      <alignment horizontal="left" vertical="center"/>
    </xf>
    <xf numFmtId="168" fontId="18" fillId="2" borderId="0" xfId="0" applyNumberFormat="1" applyFont="1" applyFill="1" applyAlignment="1">
      <alignment horizontal="right" vertical="center"/>
    </xf>
    <xf numFmtId="0" fontId="20" fillId="0" borderId="0" xfId="0" applyFont="1" applyAlignment="1">
      <alignment horizontal="left" vertical="center"/>
    </xf>
    <xf numFmtId="0" fontId="21" fillId="0" borderId="20" xfId="0" applyFont="1" applyBorder="1" applyAlignment="1">
      <alignment horizontal="center" vertical="center"/>
    </xf>
    <xf numFmtId="0" fontId="21" fillId="0" borderId="21" xfId="0" applyFont="1" applyBorder="1" applyAlignment="1">
      <alignment horizontal="center" vertical="center"/>
    </xf>
    <xf numFmtId="0" fontId="21" fillId="0" borderId="22" xfId="0" applyFont="1" applyBorder="1" applyAlignment="1">
      <alignment horizontal="center" vertical="center"/>
    </xf>
    <xf numFmtId="0" fontId="22" fillId="0" borderId="23" xfId="0" applyFont="1" applyBorder="1" applyAlignment="1">
      <alignment horizontal="center" vertical="center"/>
    </xf>
    <xf numFmtId="0" fontId="12" fillId="0" borderId="24" xfId="0" applyFont="1" applyBorder="1" applyAlignment="1">
      <alignment vertical="center"/>
    </xf>
    <xf numFmtId="0" fontId="12" fillId="0" borderId="25" xfId="0" applyFont="1" applyBorder="1" applyAlignment="1">
      <alignment vertical="center"/>
    </xf>
    <xf numFmtId="0" fontId="4" fillId="3" borderId="26" xfId="0" applyFont="1" applyFill="1" applyBorder="1" applyAlignment="1">
      <alignment vertical="center"/>
    </xf>
    <xf numFmtId="0" fontId="4" fillId="3" borderId="27" xfId="0" applyFont="1" applyFill="1" applyBorder="1" applyAlignment="1">
      <alignment vertical="center"/>
    </xf>
    <xf numFmtId="0" fontId="4" fillId="3" borderId="28" xfId="0" applyFont="1" applyFill="1" applyBorder="1" applyAlignment="1">
      <alignment vertical="center"/>
    </xf>
    <xf numFmtId="0" fontId="4" fillId="4" borderId="29" xfId="0" applyFont="1" applyFill="1" applyBorder="1" applyAlignment="1">
      <alignment vertical="center"/>
    </xf>
    <xf numFmtId="0" fontId="4" fillId="4" borderId="30" xfId="0" applyFont="1" applyFill="1" applyBorder="1" applyAlignment="1">
      <alignment vertical="center"/>
    </xf>
    <xf numFmtId="0" fontId="4" fillId="4" borderId="31" xfId="0" applyFont="1" applyFill="1" applyBorder="1" applyAlignment="1">
      <alignment vertical="center"/>
    </xf>
    <xf numFmtId="0" fontId="4" fillId="3" borderId="29" xfId="0" applyFont="1" applyFill="1" applyBorder="1" applyAlignment="1">
      <alignment horizontal="left" vertical="center"/>
    </xf>
    <xf numFmtId="0" fontId="4" fillId="3" borderId="30" xfId="0" applyFont="1" applyFill="1" applyBorder="1" applyAlignment="1">
      <alignment vertical="center"/>
    </xf>
    <xf numFmtId="0" fontId="4" fillId="3" borderId="31" xfId="0" applyFont="1" applyFill="1" applyBorder="1" applyAlignment="1">
      <alignment vertical="center"/>
    </xf>
    <xf numFmtId="0" fontId="4" fillId="3" borderId="29" xfId="0" applyFont="1" applyFill="1" applyBorder="1" applyAlignment="1">
      <alignment vertical="center"/>
    </xf>
    <xf numFmtId="0" fontId="4" fillId="5" borderId="0" xfId="0" applyFont="1" applyFill="1" applyAlignment="1">
      <alignment vertical="center"/>
    </xf>
    <xf numFmtId="0" fontId="4" fillId="6" borderId="30" xfId="0" applyFont="1" applyFill="1" applyBorder="1" applyAlignment="1">
      <alignment vertical="center"/>
    </xf>
    <xf numFmtId="0" fontId="4" fillId="6" borderId="31" xfId="0" applyFont="1" applyFill="1" applyBorder="1" applyAlignment="1">
      <alignment vertical="center"/>
    </xf>
    <xf numFmtId="0" fontId="4" fillId="6" borderId="29" xfId="0" applyFont="1" applyFill="1" applyBorder="1" applyAlignment="1">
      <alignment vertical="center"/>
    </xf>
    <xf numFmtId="0" fontId="4" fillId="4" borderId="10" xfId="0" applyFont="1" applyFill="1" applyBorder="1" applyAlignment="1">
      <alignment vertical="center"/>
    </xf>
    <xf numFmtId="0" fontId="4" fillId="4" borderId="32" xfId="0" applyFont="1" applyFill="1" applyBorder="1" applyAlignment="1">
      <alignment vertical="center"/>
    </xf>
    <xf numFmtId="0" fontId="4" fillId="4" borderId="33" xfId="0" applyFont="1" applyFill="1" applyBorder="1" applyAlignment="1">
      <alignment vertical="center"/>
    </xf>
    <xf numFmtId="0" fontId="4" fillId="4" borderId="34" xfId="0" applyFont="1" applyFill="1" applyBorder="1" applyAlignment="1">
      <alignment vertical="center"/>
    </xf>
    <xf numFmtId="0" fontId="4" fillId="4" borderId="35" xfId="0" applyFont="1" applyFill="1" applyBorder="1" applyAlignment="1">
      <alignment vertical="center"/>
    </xf>
    <xf numFmtId="0" fontId="22" fillId="0" borderId="36" xfId="0" applyFont="1" applyBorder="1" applyAlignment="1">
      <alignment horizontal="center" vertical="center"/>
    </xf>
    <xf numFmtId="0" fontId="12" fillId="0" borderId="37" xfId="0" applyFont="1" applyBorder="1" applyAlignment="1">
      <alignment vertical="center"/>
    </xf>
    <xf numFmtId="0" fontId="12" fillId="0" borderId="38" xfId="0" applyFont="1" applyBorder="1" applyAlignment="1">
      <alignment vertical="center"/>
    </xf>
    <xf numFmtId="0" fontId="21" fillId="0" borderId="36" xfId="0" applyFont="1" applyBorder="1" applyAlignment="1">
      <alignment horizontal="center" vertical="center"/>
    </xf>
    <xf numFmtId="0" fontId="21" fillId="0" borderId="37" xfId="0" applyFont="1" applyBorder="1" applyAlignment="1">
      <alignment horizontal="center" vertical="center"/>
    </xf>
    <xf numFmtId="0" fontId="21" fillId="0" borderId="38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6</xdr:col>
      <xdr:colOff>571500</xdr:colOff>
      <xdr:row>38</xdr:row>
      <xdr:rowOff>200025</xdr:rowOff>
    </xdr:from>
    <xdr:ext cx="2019300" cy="9048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952500</xdr:colOff>
      <xdr:row>1</xdr:row>
      <xdr:rowOff>123825</xdr:rowOff>
    </xdr:from>
    <xdr:ext cx="1076325" cy="47625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A1020"/>
  <sheetViews>
    <sheetView workbookViewId="0" zoomScale="100" zoomScaleNormal="100"/>
  </sheetViews>
  <sheetFormatPr defaultRowHeight="15" outlineLevelRow="0" outlineLevelCol="0" x14ac:dyDescent="0" defaultColWidth="14.43"/>
  <cols>
    <col min="1" max="1" width="2.71" customWidth="1"/>
    <col min="2" max="2" width="5.43" customWidth="1"/>
    <col min="3" max="3" width="14.57" customWidth="1"/>
    <col min="4" max="4" width="1.29" customWidth="1"/>
    <col min="5" max="5" width="14.86" customWidth="1"/>
    <col min="6" max="6" width="47.86" customWidth="1"/>
    <col min="7" max="7" width="8.71" customWidth="1"/>
    <col min="8" max="8" width="2.57" customWidth="1"/>
    <col min="9" max="9" width="12.43" customWidth="1"/>
    <col min="11" max="11" width="11.86" customWidth="1"/>
    <col min="12" max="12" width="27.43" customWidth="1"/>
    <col min="13" max="13" width="12.29" customWidth="1"/>
    <col min="14" max="27" width="8.71" customWidth="1"/>
  </cols>
  <sheetData>
    <row r="1" ht="21" customHeight="1" spans="1:1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59.25" customHeight="1" spans="1:11" x14ac:dyDescent="0.25">
      <c r="A2" s="1"/>
      <c r="B2" s="1" t="s">
        <v>0</v>
      </c>
      <c r="C2"/>
      <c r="D2"/>
      <c r="E2"/>
      <c r="F2"/>
      <c r="G2"/>
      <c r="H2"/>
      <c r="I2"/>
      <c r="J2"/>
      <c r="K2"/>
    </row>
    <row r="3" ht="37.5" customHeight="1" spans="1:11" x14ac:dyDescent="0.25">
      <c r="A3" s="2"/>
      <c r="B3" s="2" t="s">
        <v>1</v>
      </c>
      <c r="C3"/>
      <c r="D3"/>
      <c r="E3"/>
      <c r="F3"/>
      <c r="G3"/>
      <c r="H3"/>
      <c r="I3"/>
      <c r="J3"/>
      <c r="K3"/>
    </row>
    <row r="4" ht="16.5" customHeight="1" spans="1:11" x14ac:dyDescent="0.25">
      <c r="A4" s="3"/>
      <c r="B4" s="3" t="s">
        <v>2</v>
      </c>
      <c r="C4"/>
      <c r="D4"/>
      <c r="E4"/>
      <c r="F4"/>
      <c r="G4"/>
      <c r="H4"/>
      <c r="I4"/>
      <c r="J4"/>
      <c r="K4"/>
    </row>
    <row r="5" ht="26.25" customHeight="1" spans="1:20" x14ac:dyDescent="0.25">
      <c r="A5" s="4"/>
      <c r="B5" s="4" t="s">
        <v>3</v>
      </c>
      <c r="C5"/>
      <c r="D5"/>
      <c r="E5"/>
      <c r="F5"/>
      <c r="G5"/>
      <c r="H5"/>
      <c r="I5"/>
      <c r="J5"/>
      <c r="K5"/>
      <c r="T5" s="5"/>
    </row>
    <row r="6" ht="17.25" customHeight="1" spans="1:20" x14ac:dyDescent="0.25">
      <c r="A6" s="4"/>
      <c r="B6"/>
      <c r="C6"/>
      <c r="D6"/>
      <c r="E6"/>
      <c r="F6"/>
      <c r="G6"/>
      <c r="H6"/>
      <c r="I6"/>
      <c r="J6"/>
      <c r="K6"/>
      <c r="T6" s="5"/>
    </row>
    <row r="7" ht="16.5" customHeight="1" spans="1:20" x14ac:dyDescent="0.25">
      <c r="A7" s="6"/>
      <c r="B7" s="6" t="s">
        <v>4</v>
      </c>
      <c r="C7" s="7"/>
      <c r="D7" s="7"/>
      <c r="E7" s="8"/>
      <c r="F7" s="7"/>
      <c r="G7" s="7"/>
      <c r="H7" s="7"/>
      <c r="I7" s="9" t="s">
        <v>5</v>
      </c>
      <c r="J7"/>
      <c r="K7" s="7"/>
      <c r="T7" s="5"/>
    </row>
    <row r="8" ht="16.5" customHeight="1" spans="1:20" x14ac:dyDescent="0.25">
      <c r="A8" s="7"/>
      <c r="B8" s="7" t="s">
        <v>6</v>
      </c>
      <c r="C8" s="7"/>
      <c r="D8" s="7"/>
      <c r="E8" s="8"/>
      <c r="F8" s="7"/>
      <c r="G8" s="7"/>
      <c r="H8" s="7"/>
      <c r="I8" s="7"/>
      <c r="J8" s="7"/>
      <c r="K8" s="7"/>
      <c r="T8" s="5"/>
    </row>
    <row r="9" ht="16.5" customHeight="1" spans="1:20" x14ac:dyDescent="0.25">
      <c r="A9" s="10"/>
      <c r="B9" s="10" t="s">
        <v>7</v>
      </c>
      <c r="C9" s="7"/>
      <c r="D9" s="7"/>
      <c r="E9" s="7"/>
      <c r="F9" s="7"/>
      <c r="G9" s="7"/>
      <c r="H9" s="7"/>
      <c r="I9" s="7"/>
      <c r="J9" s="7"/>
      <c r="K9" s="7"/>
      <c r="T9" s="5"/>
    </row>
    <row r="10" ht="16.5" customHeight="1" spans="1:20" x14ac:dyDescent="0.25">
      <c r="A10" s="9"/>
      <c r="B10" s="11" t="s">
        <v>8</v>
      </c>
      <c r="C10"/>
      <c r="D10" s="7"/>
      <c r="E10" s="7"/>
      <c r="F10" s="7"/>
      <c r="G10" s="7"/>
      <c r="H10" s="7"/>
      <c r="I10" s="12"/>
      <c r="J10" s="7"/>
      <c r="K10" s="7"/>
      <c r="O10" s="13"/>
      <c r="T10" s="5"/>
    </row>
    <row r="11" ht="16.5" customHeight="1" spans="1:20" x14ac:dyDescent="0.25">
      <c r="A11" s="9"/>
      <c r="B11" s="14" t="s">
        <v>9</v>
      </c>
      <c r="C11" s="9"/>
      <c r="D11" s="7"/>
      <c r="E11" s="7"/>
      <c r="F11" s="7"/>
      <c r="G11" s="7"/>
      <c r="H11" s="7"/>
      <c r="I11" s="12"/>
      <c r="J11" s="7"/>
      <c r="K11" s="7"/>
      <c r="O11" s="13"/>
      <c r="T11" s="5"/>
    </row>
    <row r="12" ht="16.5" customHeight="1" spans="1:20" x14ac:dyDescent="0.25">
      <c r="A12" s="9"/>
      <c r="B12" s="9"/>
      <c r="C12" s="9"/>
      <c r="D12" s="7"/>
      <c r="E12" s="7"/>
      <c r="F12" s="7"/>
      <c r="G12" s="7"/>
      <c r="H12" s="7"/>
      <c r="I12" s="12"/>
      <c r="J12" s="7"/>
      <c r="K12" s="7"/>
      <c r="O12" s="13"/>
      <c r="T12" s="5"/>
    </row>
    <row r="13" ht="34.5" customHeight="1" spans="1:27" x14ac:dyDescent="0.25">
      <c r="A13" s="15"/>
      <c r="B13" s="15" t="s">
        <v>10</v>
      </c>
      <c r="C13"/>
      <c r="D13"/>
      <c r="E13"/>
      <c r="F13"/>
      <c r="G13"/>
      <c r="H13"/>
      <c r="I13"/>
      <c r="J13"/>
      <c r="K13" s="15"/>
      <c r="L13" s="16"/>
      <c r="M13" s="17"/>
      <c r="N13" s="16"/>
      <c r="O13" s="13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</row>
    <row r="14" ht="16.5" customHeight="1" spans="1:2" x14ac:dyDescent="0.25">
      <c r="A14" s="18"/>
      <c r="B14" s="18"/>
    </row>
    <row r="15" ht="16.5" customHeight="1" spans="1:13" x14ac:dyDescent="0.25">
      <c r="A15" s="19"/>
      <c r="B15" s="19"/>
      <c r="C15" s="11" t="s">
        <v>11</v>
      </c>
      <c r="D15" s="5" t="s">
        <v>12</v>
      </c>
      <c r="E15" s="11" t="s">
        <v>13</v>
      </c>
      <c r="L15" s="20"/>
      <c r="M15" s="21"/>
    </row>
    <row r="16" ht="16.5" customHeight="1" spans="1:5" x14ac:dyDescent="0.25">
      <c r="A16" s="19"/>
      <c r="B16" s="19"/>
      <c r="C16" s="11" t="s">
        <v>14</v>
      </c>
      <c r="D16" s="5" t="s">
        <v>12</v>
      </c>
      <c r="E16" s="7" t="s">
        <v>15</v>
      </c>
    </row>
    <row r="17" ht="16.5" customHeight="1" spans="1:5" x14ac:dyDescent="0.25">
      <c r="A17" s="19"/>
      <c r="B17" s="19"/>
      <c r="C17" s="11" t="s">
        <v>16</v>
      </c>
      <c r="D17" s="5" t="s">
        <v>12</v>
      </c>
      <c r="E17" s="7" t="s">
        <v>17</v>
      </c>
    </row>
    <row r="18" ht="16.5" customHeight="1" spans="1:5" x14ac:dyDescent="0.25">
      <c r="A18" s="19"/>
      <c r="B18" s="19"/>
      <c r="C18" s="11" t="s">
        <v>18</v>
      </c>
      <c r="D18" s="5" t="s">
        <v>12</v>
      </c>
      <c r="E18" s="7" t="s">
        <v>19</v>
      </c>
    </row>
    <row r="19" ht="16.5" customHeight="1" spans="1:5" x14ac:dyDescent="0.25">
      <c r="A19" s="19"/>
      <c r="B19" s="19"/>
      <c r="C19" s="11" t="s">
        <v>20</v>
      </c>
      <c r="D19" s="5" t="s">
        <v>12</v>
      </c>
      <c r="E19" s="7" t="s">
        <v>21</v>
      </c>
    </row>
    <row r="20" ht="16.5" customHeight="1" spans="1:17" x14ac:dyDescent="0.25">
      <c r="A20" s="19"/>
      <c r="B20" s="19"/>
      <c r="C20" s="11" t="s">
        <v>22</v>
      </c>
      <c r="D20" s="5" t="s">
        <v>12</v>
      </c>
      <c r="E20" s="7" t="s">
        <v>23</v>
      </c>
      <c r="N20"/>
      <c r="O20"/>
      <c r="P20"/>
      <c r="Q20"/>
    </row>
    <row r="21" ht="16.5" customHeight="1" spans="1:17" x14ac:dyDescent="0.25">
      <c r="A21" s="19"/>
      <c r="B21" s="19"/>
      <c r="C21" s="11"/>
      <c r="E21" s="7"/>
      <c r="M21"/>
      <c r="N21"/>
      <c r="O21"/>
      <c r="P21"/>
      <c r="Q21"/>
    </row>
    <row r="22" ht="16.5" customHeight="1" spans="1:17" x14ac:dyDescent="0.25">
      <c r="A22" s="3"/>
      <c r="B22" s="22" t="s">
        <v>24</v>
      </c>
      <c r="C22" s="23" t="s">
        <v>25</v>
      </c>
      <c r="D22" s="24"/>
      <c r="E22" s="24"/>
      <c r="F22" s="25"/>
      <c r="G22" s="23" t="s">
        <v>26</v>
      </c>
      <c r="H22" s="25"/>
      <c r="I22" s="26" t="s">
        <v>27</v>
      </c>
      <c r="J22" s="27" t="s">
        <v>28</v>
      </c>
      <c r="M22"/>
      <c r="N22"/>
      <c r="O22"/>
      <c r="P22"/>
      <c r="Q22"/>
    </row>
    <row r="23" ht="20.25" customHeight="1" spans="1:17" x14ac:dyDescent="0.25">
      <c r="A23" s="3"/>
      <c r="B23" s="28">
        <v>1</v>
      </c>
      <c r="C23" s="29"/>
      <c r="D23" s="30"/>
      <c r="E23" s="30"/>
      <c r="F23" s="31"/>
      <c r="G23" s="32"/>
      <c r="H23" s="33"/>
      <c r="I23" s="34"/>
      <c r="J23" s="35"/>
      <c r="M23"/>
      <c r="N23"/>
      <c r="O23"/>
      <c r="P23"/>
      <c r="Q23"/>
    </row>
    <row r="24" ht="20.25" customHeight="1" spans="1:10" x14ac:dyDescent="0.25">
      <c r="A24" s="3"/>
      <c r="B24" s="28">
        <v>2</v>
      </c>
      <c r="C24" s="36"/>
      <c r="D24" s="37"/>
      <c r="E24" s="37"/>
      <c r="F24" s="37"/>
      <c r="G24" s="32"/>
      <c r="H24" s="33"/>
      <c r="I24" s="34"/>
      <c r="J24" s="35"/>
    </row>
    <row r="25" ht="20.25" customHeight="1" spans="1:10" x14ac:dyDescent="0.25">
      <c r="A25" s="3"/>
      <c r="B25" s="28">
        <v>3</v>
      </c>
      <c r="C25" s="36"/>
      <c r="D25" s="37"/>
      <c r="E25" s="37"/>
      <c r="F25" s="37"/>
      <c r="G25" s="32"/>
      <c r="H25" s="33"/>
      <c r="I25" s="34"/>
      <c r="J25" s="35"/>
    </row>
    <row r="26" ht="20.25" customHeight="1" spans="1:10" x14ac:dyDescent="0.25">
      <c r="A26" s="3"/>
      <c r="B26" s="28">
        <v>4</v>
      </c>
      <c r="C26" s="36"/>
      <c r="D26" s="37"/>
      <c r="E26" s="37"/>
      <c r="F26" s="37"/>
      <c r="G26" s="32"/>
      <c r="H26" s="33"/>
      <c r="I26" s="34"/>
      <c r="J26" s="35"/>
    </row>
    <row r="27" ht="20.25" customHeight="1" spans="1:10" x14ac:dyDescent="0.25">
      <c r="A27" s="3"/>
      <c r="B27" s="28">
        <v>5</v>
      </c>
      <c r="C27" s="36"/>
      <c r="D27" s="37"/>
      <c r="E27" s="37"/>
      <c r="F27" s="37"/>
      <c r="G27" s="32"/>
      <c r="H27" s="33"/>
      <c r="I27" s="34"/>
      <c r="J27" s="35"/>
    </row>
    <row r="28" ht="20.25" customHeight="1" spans="1:10" x14ac:dyDescent="0.25">
      <c r="A28" s="3"/>
      <c r="B28" s="28">
        <v>6</v>
      </c>
      <c r="C28" s="36"/>
      <c r="D28" s="37"/>
      <c r="E28" s="37"/>
      <c r="F28" s="37"/>
      <c r="G28" s="32"/>
      <c r="H28" s="33"/>
      <c r="I28" s="34"/>
      <c r="J28" s="35"/>
    </row>
    <row r="29" ht="20.25" customHeight="1" spans="1:10" x14ac:dyDescent="0.25">
      <c r="A29" s="3"/>
      <c r="B29" s="28">
        <v>7</v>
      </c>
      <c r="C29" s="36"/>
      <c r="D29" s="37"/>
      <c r="E29" s="37"/>
      <c r="F29" s="37"/>
      <c r="G29" s="32"/>
      <c r="H29" s="33"/>
      <c r="I29" s="34"/>
      <c r="J29" s="35"/>
    </row>
    <row r="30" ht="20.25" customHeight="1" spans="1:10" x14ac:dyDescent="0.25">
      <c r="A30" s="3"/>
      <c r="B30" s="28">
        <v>8</v>
      </c>
      <c r="C30" s="36"/>
      <c r="D30" s="36"/>
      <c r="E30" s="36"/>
      <c r="F30" s="36"/>
      <c r="G30" s="32"/>
      <c r="H30" s="32"/>
      <c r="I30" s="34"/>
      <c r="J30" s="35"/>
    </row>
    <row r="31" ht="20.25" customHeight="1" spans="1:10" x14ac:dyDescent="0.25">
      <c r="A31" s="3"/>
      <c r="B31" s="28">
        <v>9</v>
      </c>
      <c r="C31" s="36"/>
      <c r="D31" s="36"/>
      <c r="E31" s="36"/>
      <c r="F31" s="36"/>
      <c r="G31" s="32"/>
      <c r="H31" s="32"/>
      <c r="I31" s="34"/>
      <c r="J31" s="35"/>
    </row>
    <row r="32" ht="20.25" customHeight="1" spans="1:10" x14ac:dyDescent="0.25">
      <c r="A32" s="3"/>
      <c r="B32" s="28">
        <v>10</v>
      </c>
      <c r="C32" s="36"/>
      <c r="D32" s="36"/>
      <c r="E32" s="36"/>
      <c r="F32" s="36"/>
      <c r="G32" s="32"/>
      <c r="H32" s="32"/>
      <c r="I32" s="34"/>
      <c r="J32" s="35"/>
    </row>
    <row r="33" ht="20.25" customHeight="1" spans="1:10" x14ac:dyDescent="0.25">
      <c r="A33" s="3"/>
      <c r="B33" s="28">
        <v>11</v>
      </c>
      <c r="C33" s="36"/>
      <c r="D33" s="36"/>
      <c r="E33" s="36"/>
      <c r="F33" s="36"/>
      <c r="G33" s="32"/>
      <c r="H33" s="32"/>
      <c r="I33" s="34"/>
      <c r="J33" s="35"/>
    </row>
    <row r="34" ht="20.25" customHeight="1" spans="1:10" x14ac:dyDescent="0.25">
      <c r="A34" s="3"/>
      <c r="B34" s="28">
        <v>12</v>
      </c>
      <c r="C34" s="36"/>
      <c r="D34" s="36"/>
      <c r="E34" s="36"/>
      <c r="F34" s="36"/>
      <c r="G34" s="32"/>
      <c r="H34" s="32"/>
      <c r="I34" s="34"/>
      <c r="J34" s="35"/>
    </row>
    <row r="35" ht="20.25" customHeight="1" spans="1:10" x14ac:dyDescent="0.25">
      <c r="A35" s="3"/>
      <c r="B35" s="28">
        <v>13</v>
      </c>
      <c r="C35" s="36"/>
      <c r="D35" s="36"/>
      <c r="E35" s="36"/>
      <c r="F35" s="36"/>
      <c r="G35" s="32"/>
      <c r="H35" s="32"/>
      <c r="I35" s="34"/>
      <c r="J35" s="35"/>
    </row>
    <row r="36" ht="20.25" customHeight="1" spans="1:10" x14ac:dyDescent="0.25">
      <c r="A36" s="3"/>
      <c r="B36" s="28">
        <v>14</v>
      </c>
      <c r="C36" s="36"/>
      <c r="D36" s="36"/>
      <c r="E36" s="36"/>
      <c r="F36" s="36"/>
      <c r="G36" s="32"/>
      <c r="H36" s="32"/>
      <c r="I36" s="34"/>
      <c r="J36" s="35"/>
    </row>
    <row r="37" ht="20.25" customHeight="1" spans="1:10" x14ac:dyDescent="0.25">
      <c r="A37" s="3"/>
      <c r="B37" s="28">
        <v>15</v>
      </c>
      <c r="C37" s="36"/>
      <c r="D37" s="36"/>
      <c r="E37" s="36"/>
      <c r="F37" s="36"/>
      <c r="G37" s="32"/>
      <c r="H37" s="32"/>
      <c r="I37" s="34"/>
      <c r="J37" s="35"/>
    </row>
    <row r="38" ht="20.25" customHeight="1" spans="1:10" x14ac:dyDescent="0.25">
      <c r="A38" s="3"/>
      <c r="B38" s="28">
        <v>16</v>
      </c>
      <c r="C38" s="36"/>
      <c r="D38" s="36"/>
      <c r="E38" s="36"/>
      <c r="F38" s="36"/>
      <c r="G38" s="32"/>
      <c r="H38" s="32"/>
      <c r="I38" s="34"/>
      <c r="J38" s="35"/>
    </row>
    <row r="39" ht="20.25" customHeight="1" spans="1:10" x14ac:dyDescent="0.25">
      <c r="A39" s="3"/>
      <c r="B39" s="28">
        <v>17</v>
      </c>
      <c r="C39" s="36"/>
      <c r="D39" s="36"/>
      <c r="E39" s="36"/>
      <c r="F39" s="36"/>
      <c r="G39" s="32"/>
      <c r="H39" s="32"/>
      <c r="I39" s="34"/>
      <c r="J39" s="35"/>
    </row>
    <row r="40" ht="20.25" customHeight="1" spans="1:10" x14ac:dyDescent="0.25">
      <c r="A40" s="3"/>
      <c r="B40" s="28">
        <v>18</v>
      </c>
      <c r="C40" s="36"/>
      <c r="D40" s="36"/>
      <c r="E40" s="36"/>
      <c r="F40" s="36"/>
      <c r="G40" s="32"/>
      <c r="H40" s="32"/>
      <c r="I40" s="34"/>
      <c r="J40" s="35"/>
    </row>
    <row r="41" ht="20.25" customHeight="1" spans="1:10" x14ac:dyDescent="0.25">
      <c r="A41" s="3"/>
      <c r="B41" s="28">
        <v>19</v>
      </c>
      <c r="C41" s="36"/>
      <c r="D41" s="36"/>
      <c r="E41" s="36"/>
      <c r="F41" s="36"/>
      <c r="G41" s="32"/>
      <c r="H41" s="32"/>
      <c r="I41" s="34"/>
      <c r="J41" s="35"/>
    </row>
    <row r="42" ht="20.25" customHeight="1" spans="1:10" x14ac:dyDescent="0.25">
      <c r="A42" s="3"/>
      <c r="B42" s="28">
        <v>20</v>
      </c>
      <c r="C42" s="36"/>
      <c r="D42" s="36"/>
      <c r="E42" s="36"/>
      <c r="F42" s="36"/>
      <c r="G42" s="32"/>
      <c r="H42" s="32"/>
      <c r="I42" s="34"/>
      <c r="J42" s="35"/>
    </row>
    <row r="43" ht="20.25" customHeight="1" spans="1:10" x14ac:dyDescent="0.25">
      <c r="A43" s="3"/>
      <c r="B43" s="28">
        <v>21</v>
      </c>
      <c r="C43" s="29" t="s">
        <v>29</v>
      </c>
      <c r="D43" s="29"/>
      <c r="E43" s="29"/>
      <c r="F43" s="29"/>
      <c r="G43" s="32">
        <f>G44/30</f>
        <v>0</v>
      </c>
      <c r="H43" s="32"/>
      <c r="I43" s="34">
        <v>100</v>
      </c>
      <c r="J43" s="35">
        <f>G43*I43</f>
        <v>0</v>
      </c>
    </row>
    <row r="44" ht="16.5" customHeight="1" spans="1:10" x14ac:dyDescent="0.25">
      <c r="A44" s="8"/>
      <c r="B44" s="38" t="s">
        <v>30</v>
      </c>
      <c r="C44" s="39"/>
      <c r="D44" s="39"/>
      <c r="E44" s="39"/>
      <c r="F44" s="39"/>
      <c r="G44" s="39">
        <f>SUM(G23:H42)</f>
        <v>0</v>
      </c>
      <c r="H44" s="39" t="s">
        <v>31</v>
      </c>
      <c r="I44" s="40"/>
      <c r="J44" s="41">
        <f>SUM(J23:J43)</f>
        <v>0</v>
      </c>
    </row>
    <row r="45" ht="28.5" customHeight="1" spans="1:9" x14ac:dyDescent="0.25">
      <c r="A45" s="42"/>
      <c r="B45" s="42" t="s">
        <v>32</v>
      </c>
      <c r="C45" s="7"/>
      <c r="D45" s="7"/>
      <c r="E45" s="7"/>
      <c r="F45" s="7"/>
      <c r="G45" s="7"/>
      <c r="H45" s="7"/>
      <c r="I45" s="7"/>
    </row>
    <row r="46" ht="16.5" customHeight="1" spans="1:6" x14ac:dyDescent="0.25">
      <c r="A46" s="7"/>
      <c r="B46" s="7"/>
      <c r="F46" s="7"/>
    </row>
    <row r="47" ht="16.5" customHeight="1" spans="1:6" x14ac:dyDescent="0.25">
      <c r="A47" s="43"/>
      <c r="B47" s="43" t="s">
        <v>33</v>
      </c>
      <c r="C47" s="7"/>
      <c r="D47" s="7"/>
      <c r="F47" s="7"/>
    </row>
    <row r="48" ht="7.5" customHeight="1" spans="13:15" x14ac:dyDescent="0.25">
      <c r="M48" s="8"/>
      <c r="N48" s="8"/>
      <c r="O48" s="7"/>
    </row>
    <row r="49" ht="16.5" customHeight="1" spans="1:15" x14ac:dyDescent="0.25">
      <c r="A49" s="8"/>
      <c r="B49" s="8" t="s">
        <v>34</v>
      </c>
      <c r="C49" s="44"/>
      <c r="D49" s="5" t="s">
        <v>12</v>
      </c>
      <c r="E49" s="7" t="s">
        <v>35</v>
      </c>
      <c r="G49" s="44"/>
      <c r="L49" s="45"/>
      <c r="M49" s="8"/>
      <c r="N49" s="8"/>
      <c r="O49" s="7"/>
    </row>
    <row r="50" ht="16.5" customHeight="1" spans="1:15" x14ac:dyDescent="0.25">
      <c r="A50" s="8"/>
      <c r="B50" s="8" t="s">
        <v>36</v>
      </c>
      <c r="D50" s="5" t="s">
        <v>12</v>
      </c>
      <c r="E50" s="7" t="s">
        <v>35</v>
      </c>
      <c r="M50" s="8"/>
      <c r="N50" s="8"/>
      <c r="O50" s="7"/>
    </row>
    <row r="51" ht="16.5" customHeight="1" spans="5:15" x14ac:dyDescent="0.25">
      <c r="E51" s="7" t="s">
        <v>37</v>
      </c>
      <c r="M51" s="8"/>
      <c r="N51" s="8"/>
      <c r="O51" s="7"/>
    </row>
    <row r="52" ht="16.5" customHeight="1" spans="13:17" x14ac:dyDescent="0.25">
      <c r="M52" s="8"/>
      <c r="N52" s="44"/>
      <c r="P52" s="7"/>
      <c r="Q52" s="7"/>
    </row>
    <row r="53" ht="16.5" customHeight="1" spans="1:17" x14ac:dyDescent="0.25">
      <c r="A53" s="44"/>
      <c r="B53" s="44"/>
      <c r="C53" s="44"/>
      <c r="P53" s="7"/>
      <c r="Q53" s="7"/>
    </row>
    <row r="54" ht="16.5" customHeight="1" spans="16:16" x14ac:dyDescent="0.25">
      <c r="P54" s="7"/>
    </row>
    <row r="55" ht="16.5" customHeight="1" spans="1:7" x14ac:dyDescent="0.25">
      <c r="A55" s="7"/>
      <c r="B55" s="7"/>
      <c r="E55" s="7"/>
      <c r="G55" s="44"/>
    </row>
    <row r="56" ht="16.5" customHeight="1" spans="1:19" x14ac:dyDescent="0.25">
      <c r="A56" s="7"/>
      <c r="B56" s="7"/>
      <c r="E56" s="7"/>
      <c r="G56" s="44"/>
      <c r="Q56" s="5"/>
      <c r="S56" s="5"/>
    </row>
    <row r="57" ht="16.5" customHeight="1" spans="17:19" x14ac:dyDescent="0.25">
      <c r="Q57" s="5"/>
      <c r="S57" s="5"/>
    </row>
    <row r="58" ht="16.5" customHeight="1" spans="6:19" x14ac:dyDescent="0.25">
      <c r="F58" s="46" t="s">
        <v>38</v>
      </c>
      <c r="G58" s="46"/>
      <c r="H58" s="36"/>
      <c r="I58" s="36"/>
      <c r="J58" s="36"/>
      <c r="Q58" s="5"/>
      <c r="S58" s="5"/>
    </row>
    <row r="59" ht="16.5" customHeight="1" spans="9:19" x14ac:dyDescent="0.25">
      <c r="I59" s="20"/>
      <c r="J59" s="47"/>
      <c r="K59" s="47"/>
      <c r="S59" s="5"/>
    </row>
    <row r="60" ht="16.5" customHeight="1" spans="19:19" x14ac:dyDescent="0.25">
      <c r="S60" s="5"/>
    </row>
    <row r="61" ht="16.5" customHeight="1" spans="3:19" x14ac:dyDescent="0.25">
      <c r="C61" s="48"/>
      <c r="D61" s="48"/>
      <c r="E61" s="48"/>
      <c r="F61" s="48"/>
      <c r="G61" s="48"/>
      <c r="H61" s="48"/>
      <c r="I61" s="48"/>
      <c r="J61" s="48"/>
      <c r="K61" s="48"/>
      <c r="S61" s="5"/>
    </row>
    <row r="62" ht="16.5" customHeight="1" spans="1:19" x14ac:dyDescent="0.25">
      <c r="A62" s="49"/>
      <c r="B62" s="49"/>
      <c r="C62" s="48"/>
      <c r="D62" s="48"/>
      <c r="E62" s="48"/>
      <c r="F62" s="48"/>
      <c r="G62" s="48"/>
      <c r="H62" s="48"/>
      <c r="I62" s="48"/>
      <c r="J62" s="48"/>
      <c r="K62" s="48"/>
      <c r="S62" s="5"/>
    </row>
    <row r="63" ht="16.5" customHeight="1" spans="1:19" x14ac:dyDescent="0.25">
      <c r="A63" s="49"/>
      <c r="B63" s="49"/>
      <c r="C63" s="50"/>
      <c r="D63" s="51"/>
      <c r="E63" s="50"/>
      <c r="F63" s="50"/>
      <c r="G63" s="50"/>
      <c r="H63" s="50"/>
      <c r="I63" s="50"/>
      <c r="J63" s="50"/>
      <c r="K63" s="52"/>
      <c r="S63" s="5"/>
    </row>
    <row r="64" ht="16.5" customHeight="1" spans="1:19" x14ac:dyDescent="0.25">
      <c r="A64" s="53"/>
      <c r="B64" s="53"/>
      <c r="C64" s="50"/>
      <c r="D64" s="50"/>
      <c r="E64" s="50"/>
      <c r="F64" s="50"/>
      <c r="G64" s="50"/>
      <c r="H64" s="50"/>
      <c r="I64" s="50"/>
      <c r="J64" s="50"/>
      <c r="K64" s="54"/>
      <c r="S64" s="5"/>
    </row>
    <row r="65" ht="16.5" customHeight="1" spans="1:19" x14ac:dyDescent="0.25">
      <c r="A65" s="55"/>
      <c r="B65" s="55"/>
      <c r="C65" s="50"/>
      <c r="D65" s="50"/>
      <c r="E65" s="50"/>
      <c r="F65" s="50"/>
      <c r="G65" s="50"/>
      <c r="H65" s="50"/>
      <c r="I65" s="50"/>
      <c r="J65" s="50"/>
      <c r="K65" s="54"/>
      <c r="S65" s="5"/>
    </row>
    <row r="66" ht="16.5" customHeight="1" spans="3:19" x14ac:dyDescent="0.25">
      <c r="C66" s="50"/>
      <c r="D66" s="50"/>
      <c r="E66" s="50"/>
      <c r="F66" s="50"/>
      <c r="G66" s="50"/>
      <c r="H66" s="50"/>
      <c r="I66" s="50"/>
      <c r="J66" s="50"/>
      <c r="K66" s="54"/>
      <c r="S66" s="5"/>
    </row>
    <row r="67" ht="16.5" customHeight="1" spans="3:19" x14ac:dyDescent="0.25">
      <c r="C67" s="50"/>
      <c r="D67" s="50"/>
      <c r="E67" s="50"/>
      <c r="F67" s="50"/>
      <c r="G67" s="50"/>
      <c r="H67" s="50"/>
      <c r="I67" s="50"/>
      <c r="J67" s="50"/>
      <c r="K67" s="54"/>
      <c r="S67" s="5"/>
    </row>
    <row r="68" ht="16.5" customHeight="1" spans="3:19" x14ac:dyDescent="0.25">
      <c r="C68" s="50"/>
      <c r="D68" s="50"/>
      <c r="E68" s="50"/>
      <c r="F68" s="50"/>
      <c r="G68" s="50"/>
      <c r="H68" s="50"/>
      <c r="I68" s="50"/>
      <c r="J68" s="50"/>
      <c r="K68" s="54"/>
      <c r="S68" s="5"/>
    </row>
    <row r="69" ht="16.5" customHeight="1" spans="3:19" x14ac:dyDescent="0.25">
      <c r="C69" s="50"/>
      <c r="D69" s="50"/>
      <c r="E69" s="50"/>
      <c r="F69" s="50"/>
      <c r="G69" s="50"/>
      <c r="H69" s="50"/>
      <c r="I69" s="50"/>
      <c r="J69" s="50"/>
      <c r="K69" s="54"/>
      <c r="S69" s="5"/>
    </row>
    <row r="70" ht="16.5" customHeight="1" spans="3:11" x14ac:dyDescent="0.25">
      <c r="C70" s="50"/>
      <c r="D70" s="50"/>
      <c r="E70" s="50"/>
      <c r="F70" s="50"/>
      <c r="G70" s="50"/>
      <c r="H70" s="50"/>
      <c r="I70" s="50"/>
      <c r="J70" s="50"/>
      <c r="K70" s="54"/>
    </row>
    <row r="71" ht="16.5" customHeight="1" spans="3:11" x14ac:dyDescent="0.25">
      <c r="C71" s="50"/>
      <c r="D71" s="50"/>
      <c r="E71" s="50"/>
      <c r="F71" s="50"/>
      <c r="G71" s="50"/>
      <c r="H71" s="50"/>
      <c r="I71" s="50"/>
      <c r="J71" s="50"/>
      <c r="K71" s="54"/>
    </row>
    <row r="72" ht="16.5" customHeight="1" spans="3:11" x14ac:dyDescent="0.25">
      <c r="C72" s="50"/>
      <c r="D72" s="50"/>
      <c r="E72" s="50"/>
      <c r="F72" s="50"/>
      <c r="G72" s="50"/>
      <c r="H72" s="50"/>
      <c r="I72" s="50"/>
      <c r="J72" s="50"/>
      <c r="K72" s="54"/>
    </row>
    <row r="73" ht="16.5" customHeight="1" spans="3:11" x14ac:dyDescent="0.25">
      <c r="C73" s="50"/>
      <c r="D73" s="50"/>
      <c r="E73" s="50"/>
      <c r="F73" s="50"/>
      <c r="G73" s="50"/>
      <c r="H73" s="50"/>
      <c r="I73" s="50"/>
      <c r="J73" s="50"/>
      <c r="K73" s="54"/>
    </row>
    <row r="74" ht="16.5" customHeight="1" spans="3:11" x14ac:dyDescent="0.25">
      <c r="C74" s="50"/>
      <c r="D74" s="50"/>
      <c r="E74" s="50"/>
      <c r="F74" s="50"/>
      <c r="G74" s="50"/>
      <c r="H74" s="50"/>
      <c r="I74" s="50"/>
      <c r="J74" s="50"/>
      <c r="K74" s="54"/>
    </row>
    <row r="75" ht="16.5" customHeight="1" spans="3:11" x14ac:dyDescent="0.25">
      <c r="C75" s="50"/>
      <c r="D75" s="50"/>
      <c r="E75" s="50"/>
      <c r="F75" s="50"/>
      <c r="G75" s="50"/>
      <c r="H75" s="50"/>
      <c r="I75" s="50"/>
      <c r="J75" s="50"/>
      <c r="K75" s="54"/>
    </row>
    <row r="76" ht="16.5" customHeight="1" spans="3:11" x14ac:dyDescent="0.25">
      <c r="C76" s="50"/>
      <c r="D76" s="50"/>
      <c r="E76" s="50"/>
      <c r="F76" s="50"/>
      <c r="G76" s="50"/>
      <c r="H76" s="50"/>
      <c r="I76" s="50"/>
      <c r="J76" s="50"/>
      <c r="K76" s="54"/>
    </row>
    <row r="77" ht="16.5" customHeight="1" spans="3:11" x14ac:dyDescent="0.25">
      <c r="C77" s="50"/>
      <c r="D77" s="50"/>
      <c r="E77" s="50"/>
      <c r="F77" s="50"/>
      <c r="G77" s="50"/>
      <c r="H77" s="50"/>
      <c r="I77" s="50"/>
      <c r="J77" s="50"/>
      <c r="K77" s="54"/>
    </row>
    <row r="78" ht="16.5" customHeight="1" spans="3:11" x14ac:dyDescent="0.25">
      <c r="C78" s="50"/>
      <c r="D78" s="50"/>
      <c r="E78" s="50"/>
      <c r="F78" s="50"/>
      <c r="G78" s="50"/>
      <c r="H78" s="50"/>
      <c r="I78" s="50"/>
      <c r="J78" s="50"/>
      <c r="K78" s="54"/>
    </row>
    <row r="79" ht="16.5" customHeight="1" spans="3:11" x14ac:dyDescent="0.25">
      <c r="C79" s="50"/>
      <c r="D79" s="50"/>
      <c r="E79" s="50"/>
      <c r="F79" s="50"/>
      <c r="G79" s="50"/>
      <c r="H79" s="50"/>
      <c r="I79" s="50"/>
      <c r="J79" s="50"/>
      <c r="K79" s="54"/>
    </row>
    <row r="80" ht="16.5" customHeight="1" spans="3:11" x14ac:dyDescent="0.25">
      <c r="C80" s="50"/>
      <c r="D80" s="50"/>
      <c r="E80" s="50"/>
      <c r="F80" s="50"/>
      <c r="G80" s="50"/>
      <c r="H80" s="50"/>
      <c r="I80" s="50"/>
      <c r="J80" s="50"/>
      <c r="K80" s="54"/>
    </row>
    <row r="81" ht="16.5" customHeight="1" spans="3:11" x14ac:dyDescent="0.25">
      <c r="C81" s="50"/>
      <c r="D81" s="50"/>
      <c r="E81" s="50"/>
      <c r="F81" s="50"/>
      <c r="G81" s="50"/>
      <c r="H81" s="50"/>
      <c r="I81" s="50"/>
      <c r="J81" s="50"/>
      <c r="K81" s="54"/>
    </row>
    <row r="82" ht="16.5" customHeight="1" spans="3:11" x14ac:dyDescent="0.25">
      <c r="C82" s="50"/>
      <c r="D82" s="50"/>
      <c r="E82" s="50"/>
      <c r="F82" s="50"/>
      <c r="G82" s="50"/>
      <c r="H82" s="50"/>
      <c r="I82" s="50"/>
      <c r="J82" s="50"/>
      <c r="K82" s="54"/>
    </row>
    <row r="83" ht="16.5" customHeight="1" spans="3:11" x14ac:dyDescent="0.25">
      <c r="C83" s="50"/>
      <c r="D83" s="50"/>
      <c r="E83" s="50"/>
      <c r="F83" s="50"/>
      <c r="G83" s="50"/>
      <c r="H83" s="50"/>
      <c r="I83" s="50"/>
      <c r="J83" s="50"/>
      <c r="K83" s="54"/>
    </row>
    <row r="84" ht="16.5" customHeight="1" spans="3:11" x14ac:dyDescent="0.25">
      <c r="C84" s="50"/>
      <c r="D84" s="50"/>
      <c r="E84" s="50"/>
      <c r="F84" s="50"/>
      <c r="G84" s="50"/>
      <c r="H84" s="50"/>
      <c r="I84" s="50"/>
      <c r="J84" s="50"/>
      <c r="K84" s="54"/>
    </row>
    <row r="85" ht="16.5" customHeight="1" spans="3:11" x14ac:dyDescent="0.25">
      <c r="C85" s="50"/>
      <c r="D85" s="50"/>
      <c r="E85" s="50"/>
      <c r="F85" s="50"/>
      <c r="G85" s="50"/>
      <c r="H85" s="50"/>
      <c r="I85" s="50"/>
      <c r="J85" s="50"/>
      <c r="K85" s="54"/>
    </row>
    <row r="86" ht="16.5" customHeight="1" spans="3:11" x14ac:dyDescent="0.25">
      <c r="C86" s="50"/>
      <c r="D86" s="50"/>
      <c r="E86" s="50"/>
      <c r="F86" s="50"/>
      <c r="G86" s="50"/>
      <c r="H86" s="50"/>
      <c r="I86" s="50"/>
      <c r="J86" s="50"/>
      <c r="K86" s="54"/>
    </row>
    <row r="87" ht="16.5" customHeight="1" spans="3:11" x14ac:dyDescent="0.25">
      <c r="C87" s="50"/>
      <c r="D87" s="50"/>
      <c r="E87" s="50"/>
      <c r="F87" s="50"/>
      <c r="G87" s="50"/>
      <c r="H87" s="50"/>
      <c r="I87" s="50"/>
      <c r="J87" s="50"/>
      <c r="K87" s="54"/>
    </row>
    <row r="88" ht="16.5" customHeight="1" spans="3:11" x14ac:dyDescent="0.25">
      <c r="C88" s="50"/>
      <c r="D88" s="50"/>
      <c r="E88" s="50"/>
      <c r="F88" s="50"/>
      <c r="G88" s="50"/>
      <c r="H88" s="50"/>
      <c r="I88" s="50"/>
      <c r="J88" s="50"/>
      <c r="K88" s="54"/>
    </row>
    <row r="89" ht="16.5" customHeight="1" spans="3:11" x14ac:dyDescent="0.25">
      <c r="C89" s="50"/>
      <c r="D89" s="50"/>
      <c r="E89" s="50"/>
      <c r="F89" s="50"/>
      <c r="G89" s="50"/>
      <c r="H89" s="50"/>
      <c r="I89" s="50"/>
      <c r="J89" s="50"/>
      <c r="K89" s="54"/>
    </row>
    <row r="90" ht="16.5" customHeight="1" spans="3:11" x14ac:dyDescent="0.25">
      <c r="C90" s="50"/>
      <c r="D90" s="50"/>
      <c r="E90" s="50"/>
      <c r="F90" s="50"/>
      <c r="G90" s="50"/>
      <c r="H90" s="50"/>
      <c r="I90" s="50"/>
      <c r="J90" s="50"/>
      <c r="K90" s="54"/>
    </row>
    <row r="91" ht="16.5" customHeight="1" spans="3:11" x14ac:dyDescent="0.25">
      <c r="C91" s="50"/>
      <c r="D91" s="50"/>
      <c r="E91" s="50"/>
      <c r="F91" s="50"/>
      <c r="G91" s="50"/>
      <c r="H91" s="50"/>
      <c r="I91" s="50"/>
      <c r="J91" s="50"/>
      <c r="K91" s="52"/>
    </row>
    <row r="92" ht="16.5" customHeight="1" spans="3:11" x14ac:dyDescent="0.25">
      <c r="C92" s="50"/>
      <c r="D92" s="50"/>
      <c r="E92" s="50"/>
      <c r="F92" s="50"/>
      <c r="G92" s="50"/>
      <c r="H92" s="50"/>
      <c r="I92" s="50"/>
      <c r="J92" s="50"/>
      <c r="K92" s="52"/>
    </row>
    <row r="93" ht="16.5" customHeight="1" spans="3:11" x14ac:dyDescent="0.25">
      <c r="C93" s="50"/>
      <c r="D93" s="50"/>
      <c r="E93" s="50"/>
      <c r="F93" s="50"/>
      <c r="G93" s="50"/>
      <c r="H93" s="50"/>
      <c r="I93" s="50"/>
      <c r="J93" s="50"/>
      <c r="K93" s="52"/>
    </row>
    <row r="94" ht="16.5" customHeight="1" spans="3:11" x14ac:dyDescent="0.25">
      <c r="C94" s="50"/>
      <c r="D94" s="50"/>
      <c r="E94" s="50"/>
      <c r="F94" s="50"/>
      <c r="G94" s="50"/>
      <c r="H94" s="50"/>
      <c r="I94" s="50"/>
      <c r="J94" s="50"/>
      <c r="K94" s="54"/>
    </row>
    <row r="95" ht="16.5" customHeight="1" spans="3:11" x14ac:dyDescent="0.25">
      <c r="C95" s="50"/>
      <c r="D95" s="50"/>
      <c r="E95" s="50"/>
      <c r="F95" s="50"/>
      <c r="G95" s="50"/>
      <c r="H95" s="50"/>
      <c r="I95" s="50"/>
      <c r="J95" s="50"/>
      <c r="K95" s="54"/>
    </row>
    <row r="96" ht="16.5" customHeight="1" spans="3:11" x14ac:dyDescent="0.25">
      <c r="C96" s="50"/>
      <c r="D96" s="50"/>
      <c r="E96" s="50"/>
      <c r="F96" s="50"/>
      <c r="G96" s="50"/>
      <c r="H96" s="50"/>
      <c r="I96" s="50"/>
      <c r="J96" s="50"/>
      <c r="K96" s="54"/>
    </row>
    <row r="97" ht="16.5" customHeight="1" spans="3:11" x14ac:dyDescent="0.25">
      <c r="C97" s="50"/>
      <c r="D97" s="50"/>
      <c r="E97" s="50"/>
      <c r="F97" s="50"/>
      <c r="G97" s="50"/>
      <c r="H97" s="50"/>
      <c r="I97" s="50"/>
      <c r="J97" s="50"/>
      <c r="K97" s="54"/>
    </row>
    <row r="98" ht="16.5" customHeight="1" spans="3:11" x14ac:dyDescent="0.25">
      <c r="C98" s="50"/>
      <c r="D98" s="50"/>
      <c r="E98" s="50"/>
      <c r="F98" s="50"/>
      <c r="G98" s="50"/>
      <c r="H98" s="50"/>
      <c r="I98" s="50"/>
      <c r="J98" s="50"/>
      <c r="K98" s="54"/>
    </row>
    <row r="99" ht="16.5" customHeight="1" spans="3:11" x14ac:dyDescent="0.25">
      <c r="C99" s="50"/>
      <c r="D99" s="50"/>
      <c r="E99" s="50"/>
      <c r="F99" s="50"/>
      <c r="G99" s="50"/>
      <c r="H99" s="50"/>
      <c r="I99" s="50"/>
      <c r="J99" s="50"/>
      <c r="K99" s="52"/>
    </row>
    <row r="100" ht="16.5" customHeight="1" spans="3:11" x14ac:dyDescent="0.25">
      <c r="C100" s="50"/>
      <c r="D100" s="50"/>
      <c r="E100" s="50"/>
      <c r="F100" s="50"/>
      <c r="G100" s="50"/>
      <c r="H100" s="50"/>
      <c r="I100" s="50"/>
      <c r="J100" s="50"/>
      <c r="K100" s="52"/>
    </row>
    <row r="101" ht="16.5" customHeight="1" spans="3:11" x14ac:dyDescent="0.25">
      <c r="C101" s="50"/>
      <c r="D101" s="50"/>
      <c r="E101" s="50"/>
      <c r="F101" s="50"/>
      <c r="G101" s="50"/>
      <c r="H101" s="50"/>
      <c r="I101" s="50"/>
      <c r="J101" s="50"/>
      <c r="K101" s="52"/>
    </row>
    <row r="102" ht="16.5" customHeight="1" spans="3:11" x14ac:dyDescent="0.25">
      <c r="C102" s="50"/>
      <c r="D102" s="50"/>
      <c r="E102" s="50"/>
      <c r="F102" s="50"/>
      <c r="G102" s="50"/>
      <c r="H102" s="50"/>
      <c r="I102" s="50"/>
      <c r="J102" s="50"/>
      <c r="K102" s="52"/>
    </row>
    <row r="103" ht="16.5" customHeight="1" spans="3:11" x14ac:dyDescent="0.25">
      <c r="C103" s="50"/>
      <c r="D103" s="50"/>
      <c r="E103" s="50"/>
      <c r="F103" s="50"/>
      <c r="G103" s="50"/>
      <c r="H103" s="50"/>
      <c r="I103" s="50"/>
      <c r="J103" s="50"/>
      <c r="K103" s="52"/>
    </row>
    <row r="104" ht="16.5" customHeight="1" spans="3:11" x14ac:dyDescent="0.25">
      <c r="C104" s="50"/>
      <c r="D104" s="50"/>
      <c r="E104" s="50"/>
      <c r="F104" s="50"/>
      <c r="G104" s="50"/>
      <c r="H104" s="50"/>
      <c r="I104" s="50"/>
      <c r="J104" s="50"/>
      <c r="K104" s="52"/>
    </row>
    <row r="105" ht="16.5" customHeight="1" spans="3:11" x14ac:dyDescent="0.25">
      <c r="C105" s="50"/>
      <c r="D105" s="50"/>
      <c r="E105" s="50"/>
      <c r="F105" s="50"/>
      <c r="G105" s="50"/>
      <c r="H105" s="50"/>
      <c r="I105" s="50"/>
      <c r="J105" s="50"/>
      <c r="K105" s="52"/>
    </row>
    <row r="106" ht="16.5" customHeight="1" spans="3:11" x14ac:dyDescent="0.25">
      <c r="C106" s="50"/>
      <c r="D106" s="50"/>
      <c r="E106" s="50"/>
      <c r="F106" s="50"/>
      <c r="G106" s="50"/>
      <c r="H106" s="50"/>
      <c r="I106" s="50"/>
      <c r="J106" s="50"/>
      <c r="K106" s="52"/>
    </row>
    <row r="107" ht="16.5" customHeight="1" spans="3:11" x14ac:dyDescent="0.25">
      <c r="C107" s="50"/>
      <c r="D107" s="50"/>
      <c r="E107" s="50"/>
      <c r="F107" s="50"/>
      <c r="G107" s="50"/>
      <c r="H107" s="50"/>
      <c r="I107" s="50"/>
      <c r="J107" s="50"/>
      <c r="K107" s="52"/>
    </row>
    <row r="108" ht="16.5" customHeight="1" spans="3:11" x14ac:dyDescent="0.25">
      <c r="C108" s="50"/>
      <c r="D108" s="50"/>
      <c r="E108" s="50"/>
      <c r="F108" s="50"/>
      <c r="G108" s="50"/>
      <c r="H108" s="50"/>
      <c r="I108" s="50"/>
      <c r="J108" s="50"/>
      <c r="K108" s="52"/>
    </row>
    <row r="109" ht="16.5" customHeight="1" spans="3:11" x14ac:dyDescent="0.25">
      <c r="C109" s="50"/>
      <c r="D109" s="50"/>
      <c r="E109" s="50"/>
      <c r="F109" s="50"/>
      <c r="G109" s="50"/>
      <c r="H109" s="50"/>
      <c r="I109" s="50"/>
      <c r="J109" s="50"/>
      <c r="K109" s="52"/>
    </row>
    <row r="110" ht="16.5" customHeight="1" spans="3:11" x14ac:dyDescent="0.25">
      <c r="C110" s="50"/>
      <c r="D110" s="50"/>
      <c r="E110" s="50"/>
      <c r="F110" s="50"/>
      <c r="G110" s="50"/>
      <c r="H110" s="50"/>
      <c r="I110" s="50"/>
      <c r="J110" s="50"/>
      <c r="K110" s="52"/>
    </row>
    <row r="111" ht="16.5" customHeight="1" spans="3:11" x14ac:dyDescent="0.25">
      <c r="C111" s="50"/>
      <c r="D111" s="50"/>
      <c r="E111" s="50"/>
      <c r="F111" s="50"/>
      <c r="G111" s="50"/>
      <c r="H111" s="50"/>
      <c r="I111" s="50"/>
      <c r="J111" s="50"/>
      <c r="K111" s="52"/>
    </row>
    <row r="112" ht="16.5" customHeight="1" spans="3:11" x14ac:dyDescent="0.25">
      <c r="C112" s="50"/>
      <c r="D112" s="50"/>
      <c r="E112" s="50"/>
      <c r="F112" s="50"/>
      <c r="G112" s="50"/>
      <c r="H112" s="50"/>
      <c r="I112" s="50"/>
      <c r="J112" s="50"/>
      <c r="K112" s="52"/>
    </row>
    <row r="113" ht="16.5" customHeight="1" spans="3:11" x14ac:dyDescent="0.25">
      <c r="C113" s="48"/>
      <c r="D113" s="48"/>
      <c r="E113" s="48"/>
      <c r="F113" s="48"/>
      <c r="G113" s="48"/>
      <c r="H113" s="48"/>
      <c r="I113" s="48"/>
      <c r="J113" s="48"/>
      <c r="K113" s="48"/>
    </row>
    <row r="114" ht="16.5" customHeight="1" spans="3:11" x14ac:dyDescent="0.25">
      <c r="C114" s="48"/>
      <c r="D114" s="48"/>
      <c r="E114" s="48"/>
      <c r="F114" s="48"/>
      <c r="G114" s="48"/>
      <c r="H114" s="48"/>
      <c r="I114" s="48"/>
      <c r="J114" s="48"/>
      <c r="K114" s="48"/>
    </row>
    <row r="115" ht="16.5" customHeight="1" spans="3:11" x14ac:dyDescent="0.25">
      <c r="C115" s="48"/>
      <c r="D115" s="48"/>
      <c r="E115" s="48"/>
      <c r="F115" s="48"/>
      <c r="G115" s="48"/>
      <c r="H115" s="48"/>
      <c r="I115" s="48"/>
      <c r="J115" s="48"/>
      <c r="K115" s="48"/>
    </row>
    <row r="116" ht="16.5" customHeight="1" spans="3:11" x14ac:dyDescent="0.25">
      <c r="C116" s="48"/>
      <c r="D116" s="48"/>
      <c r="E116" s="48"/>
      <c r="F116" s="48"/>
      <c r="G116" s="48"/>
      <c r="H116" s="48"/>
      <c r="I116" s="48"/>
      <c r="J116" s="48"/>
      <c r="K116" s="48"/>
    </row>
    <row r="117" ht="16.5" customHeight="1" spans="3:11" x14ac:dyDescent="0.25">
      <c r="C117" s="48"/>
      <c r="D117" s="48"/>
      <c r="E117" s="48"/>
      <c r="F117" s="48"/>
      <c r="G117" s="48"/>
      <c r="H117" s="48"/>
      <c r="I117" s="48"/>
      <c r="J117" s="48"/>
      <c r="K117" s="48"/>
    </row>
    <row r="118" ht="16.5" customHeight="1" spans="3:11" x14ac:dyDescent="0.25">
      <c r="C118" s="48"/>
      <c r="D118" s="48"/>
      <c r="E118" s="48"/>
      <c r="F118" s="48"/>
      <c r="G118" s="48"/>
      <c r="H118" s="48"/>
      <c r="I118" s="48"/>
      <c r="J118" s="48"/>
      <c r="K118" s="48"/>
    </row>
    <row r="119" ht="16.5" customHeight="1" spans="3:11" x14ac:dyDescent="0.25">
      <c r="C119" s="48"/>
      <c r="D119" s="48"/>
      <c r="E119" s="48"/>
      <c r="F119" s="48"/>
      <c r="G119" s="48"/>
      <c r="H119" s="48"/>
      <c r="I119" s="48"/>
      <c r="J119" s="48"/>
      <c r="K119" s="48"/>
    </row>
    <row r="120" ht="16.5" customHeight="1" spans="3:11" x14ac:dyDescent="0.25">
      <c r="C120" s="48"/>
      <c r="D120" s="48"/>
      <c r="E120" s="48"/>
      <c r="F120" s="48"/>
      <c r="G120" s="48"/>
      <c r="H120" s="48"/>
      <c r="I120" s="48"/>
      <c r="J120" s="48"/>
      <c r="K120" s="48"/>
    </row>
    <row r="121" ht="16.5" customHeight="1" spans="3:11" x14ac:dyDescent="0.25">
      <c r="C121" s="48"/>
      <c r="D121" s="48"/>
      <c r="E121" s="48"/>
      <c r="F121" s="48"/>
      <c r="G121" s="48"/>
      <c r="H121" s="48"/>
      <c r="I121" s="48"/>
      <c r="J121" s="48"/>
      <c r="K121" s="48"/>
    </row>
    <row r="122" ht="16.5" customHeight="1" spans="3:11" x14ac:dyDescent="0.25">
      <c r="C122" s="48"/>
      <c r="D122" s="48"/>
      <c r="E122" s="48"/>
      <c r="F122" s="48"/>
      <c r="G122" s="48"/>
      <c r="H122" s="48"/>
      <c r="I122" s="48"/>
      <c r="J122" s="48"/>
      <c r="K122" s="48"/>
    </row>
    <row r="123" ht="16.5" customHeight="1" x14ac:dyDescent="0.25"/>
    <row r="124" ht="16.5" customHeight="1" x14ac:dyDescent="0.25"/>
    <row r="125" ht="16.5" customHeight="1" x14ac:dyDescent="0.25"/>
    <row r="126" ht="16.5" customHeight="1" x14ac:dyDescent="0.25"/>
    <row r="127" ht="16.5" customHeight="1" x14ac:dyDescent="0.25"/>
    <row r="128" ht="16.5" customHeight="1" x14ac:dyDescent="0.25"/>
    <row r="129" ht="16.5" customHeight="1" x14ac:dyDescent="0.25"/>
    <row r="130" ht="16.5" customHeight="1" x14ac:dyDescent="0.25"/>
    <row r="131" ht="16.5" customHeight="1" x14ac:dyDescent="0.25"/>
    <row r="132" ht="16.5" customHeight="1" x14ac:dyDescent="0.25"/>
    <row r="133" ht="16.5" customHeight="1" x14ac:dyDescent="0.25"/>
    <row r="134" ht="16.5" customHeight="1" x14ac:dyDescent="0.25"/>
    <row r="135" ht="16.5" customHeight="1" x14ac:dyDescent="0.25"/>
    <row r="136" ht="16.5" customHeight="1" x14ac:dyDescent="0.25"/>
    <row r="137" ht="16.5" customHeight="1" x14ac:dyDescent="0.25"/>
    <row r="138" ht="16.5" customHeight="1" x14ac:dyDescent="0.25"/>
    <row r="139" ht="16.5" customHeight="1" x14ac:dyDescent="0.25"/>
    <row r="140" ht="16.5" customHeight="1" x14ac:dyDescent="0.25"/>
    <row r="141" ht="16.5" customHeight="1" x14ac:dyDescent="0.25"/>
    <row r="142" ht="16.5" customHeight="1" x14ac:dyDescent="0.25"/>
    <row r="143" ht="16.5" customHeight="1" x14ac:dyDescent="0.25"/>
    <row r="144" ht="16.5" customHeight="1" x14ac:dyDescent="0.25"/>
    <row r="145" ht="16.5" customHeight="1" x14ac:dyDescent="0.25"/>
    <row r="146" ht="16.5" customHeight="1" x14ac:dyDescent="0.25"/>
    <row r="147" ht="16.5" customHeight="1" x14ac:dyDescent="0.25"/>
    <row r="148" ht="16.5" customHeight="1" x14ac:dyDescent="0.25"/>
    <row r="149" ht="16.5" customHeight="1" x14ac:dyDescent="0.25"/>
    <row r="150" ht="16.5" customHeight="1" x14ac:dyDescent="0.25"/>
    <row r="151" ht="16.5" customHeight="1" x14ac:dyDescent="0.25"/>
    <row r="152" ht="16.5" customHeight="1" x14ac:dyDescent="0.25"/>
    <row r="153" ht="16.5" customHeight="1" x14ac:dyDescent="0.25"/>
    <row r="154" ht="16.5" customHeight="1" x14ac:dyDescent="0.25"/>
    <row r="155" ht="16.5" customHeight="1" x14ac:dyDescent="0.25"/>
    <row r="156" ht="16.5" customHeight="1" x14ac:dyDescent="0.25"/>
    <row r="157" ht="16.5" customHeight="1" x14ac:dyDescent="0.25"/>
    <row r="158" ht="16.5" customHeight="1" x14ac:dyDescent="0.25"/>
    <row r="159" ht="16.5" customHeight="1" x14ac:dyDescent="0.25"/>
    <row r="160" ht="16.5" customHeight="1" x14ac:dyDescent="0.25"/>
    <row r="161" ht="16.5" customHeight="1" x14ac:dyDescent="0.25"/>
    <row r="162" ht="16.5" customHeight="1" x14ac:dyDescent="0.25"/>
    <row r="163" ht="16.5" customHeight="1" x14ac:dyDescent="0.25"/>
    <row r="164" ht="16.5" customHeight="1" x14ac:dyDescent="0.25"/>
    <row r="165" ht="16.5" customHeight="1" x14ac:dyDescent="0.25"/>
    <row r="166" ht="16.5" customHeight="1" x14ac:dyDescent="0.25"/>
    <row r="167" ht="16.5" customHeight="1" x14ac:dyDescent="0.25"/>
    <row r="168" ht="16.5" customHeight="1" x14ac:dyDescent="0.25"/>
    <row r="169" ht="16.5" customHeight="1" x14ac:dyDescent="0.25"/>
    <row r="170" ht="16.5" customHeight="1" x14ac:dyDescent="0.25"/>
    <row r="171" ht="16.5" customHeight="1" x14ac:dyDescent="0.25"/>
    <row r="172" ht="16.5" customHeight="1" x14ac:dyDescent="0.25"/>
    <row r="173" ht="16.5" customHeight="1" x14ac:dyDescent="0.25"/>
    <row r="174" ht="16.5" customHeight="1" x14ac:dyDescent="0.25"/>
    <row r="175" ht="16.5" customHeight="1" x14ac:dyDescent="0.25"/>
    <row r="176" ht="16.5" customHeight="1" x14ac:dyDescent="0.25"/>
    <row r="177" ht="16.5" customHeight="1" x14ac:dyDescent="0.25"/>
    <row r="178" ht="16.5" customHeight="1" x14ac:dyDescent="0.25"/>
    <row r="179" ht="16.5" customHeight="1" x14ac:dyDescent="0.25"/>
    <row r="180" ht="16.5" customHeight="1" x14ac:dyDescent="0.25"/>
    <row r="181" ht="16.5" customHeight="1" x14ac:dyDescent="0.25"/>
    <row r="182" ht="16.5" customHeight="1" x14ac:dyDescent="0.25"/>
    <row r="183" ht="16.5" customHeight="1" x14ac:dyDescent="0.25"/>
    <row r="184" ht="16.5" customHeight="1" x14ac:dyDescent="0.25"/>
    <row r="185" ht="16.5" customHeight="1" x14ac:dyDescent="0.25"/>
    <row r="186" ht="16.5" customHeight="1" x14ac:dyDescent="0.25"/>
    <row r="187" ht="16.5" customHeight="1" x14ac:dyDescent="0.25"/>
    <row r="188" ht="16.5" customHeight="1" x14ac:dyDescent="0.25"/>
    <row r="189" ht="16.5" customHeight="1" x14ac:dyDescent="0.25"/>
    <row r="190" ht="16.5" customHeight="1" x14ac:dyDescent="0.25"/>
    <row r="191" ht="16.5" customHeight="1" x14ac:dyDescent="0.25"/>
    <row r="192" ht="16.5" customHeight="1" x14ac:dyDescent="0.25"/>
    <row r="193" ht="16.5" customHeight="1" x14ac:dyDescent="0.25"/>
    <row r="194" ht="16.5" customHeight="1" x14ac:dyDescent="0.25"/>
    <row r="195" ht="16.5" customHeight="1" x14ac:dyDescent="0.25"/>
    <row r="196" ht="16.5" customHeight="1" x14ac:dyDescent="0.25"/>
    <row r="197" ht="16.5" customHeight="1" x14ac:dyDescent="0.25"/>
    <row r="198" ht="16.5" customHeight="1" x14ac:dyDescent="0.25"/>
    <row r="199" ht="16.5" customHeight="1" x14ac:dyDescent="0.25"/>
    <row r="200" ht="16.5" customHeight="1" x14ac:dyDescent="0.25"/>
    <row r="201" ht="16.5" customHeight="1" x14ac:dyDescent="0.25"/>
    <row r="202" ht="16.5" customHeight="1" x14ac:dyDescent="0.25"/>
    <row r="203" ht="16.5" customHeight="1" x14ac:dyDescent="0.25"/>
    <row r="204" ht="16.5" customHeight="1" x14ac:dyDescent="0.25"/>
    <row r="205" ht="16.5" customHeight="1" x14ac:dyDescent="0.25"/>
    <row r="206" ht="16.5" customHeight="1" x14ac:dyDescent="0.25"/>
    <row r="207" ht="16.5" customHeight="1" x14ac:dyDescent="0.25"/>
    <row r="208" ht="16.5" customHeight="1" x14ac:dyDescent="0.25"/>
    <row r="209" ht="16.5" customHeight="1" x14ac:dyDescent="0.25"/>
    <row r="210" ht="16.5" customHeight="1" x14ac:dyDescent="0.25"/>
    <row r="211" ht="16.5" customHeight="1" x14ac:dyDescent="0.25"/>
    <row r="212" ht="16.5" customHeight="1" x14ac:dyDescent="0.25"/>
    <row r="213" ht="16.5" customHeight="1" x14ac:dyDescent="0.25"/>
    <row r="214" ht="16.5" customHeight="1" x14ac:dyDescent="0.25"/>
    <row r="215" ht="16.5" customHeight="1" x14ac:dyDescent="0.25"/>
    <row r="216" ht="16.5" customHeight="1" x14ac:dyDescent="0.25"/>
    <row r="217" ht="16.5" customHeight="1" x14ac:dyDescent="0.25"/>
    <row r="218" ht="16.5" customHeight="1" x14ac:dyDescent="0.25"/>
    <row r="219" ht="16.5" customHeight="1" x14ac:dyDescent="0.25"/>
    <row r="220" ht="16.5" customHeight="1" x14ac:dyDescent="0.25"/>
    <row r="221" ht="16.5" customHeight="1" x14ac:dyDescent="0.25"/>
    <row r="222" ht="16.5" customHeight="1" x14ac:dyDescent="0.25"/>
    <row r="223" ht="16.5" customHeight="1" x14ac:dyDescent="0.25"/>
    <row r="224" ht="16.5" customHeight="1" x14ac:dyDescent="0.25"/>
    <row r="225" ht="16.5" customHeight="1" x14ac:dyDescent="0.25"/>
    <row r="226" ht="16.5" customHeight="1" x14ac:dyDescent="0.25"/>
    <row r="227" ht="16.5" customHeight="1" x14ac:dyDescent="0.25"/>
    <row r="228" ht="16.5" customHeight="1" x14ac:dyDescent="0.25"/>
    <row r="229" ht="16.5" customHeight="1" x14ac:dyDescent="0.25"/>
    <row r="230" ht="16.5" customHeight="1" x14ac:dyDescent="0.25"/>
    <row r="231" ht="16.5" customHeight="1" x14ac:dyDescent="0.25"/>
    <row r="232" ht="16.5" customHeight="1" x14ac:dyDescent="0.25"/>
    <row r="233" ht="16.5" customHeight="1" x14ac:dyDescent="0.25"/>
    <row r="234" ht="16.5" customHeight="1" x14ac:dyDescent="0.25"/>
    <row r="235" ht="16.5" customHeight="1" x14ac:dyDescent="0.25"/>
    <row r="236" ht="16.5" customHeight="1" x14ac:dyDescent="0.25"/>
    <row r="237" ht="16.5" customHeight="1" x14ac:dyDescent="0.25"/>
    <row r="238" ht="16.5" customHeight="1" x14ac:dyDescent="0.25"/>
    <row r="239" ht="16.5" customHeight="1" x14ac:dyDescent="0.25"/>
    <row r="240" ht="16.5" customHeight="1" x14ac:dyDescent="0.25"/>
    <row r="241" ht="16.5" customHeight="1" x14ac:dyDescent="0.25"/>
    <row r="242" ht="16.5" customHeight="1" x14ac:dyDescent="0.25"/>
    <row r="243" ht="16.5" customHeight="1" x14ac:dyDescent="0.25"/>
    <row r="244" ht="16.5" customHeight="1" x14ac:dyDescent="0.25"/>
    <row r="245" ht="16.5" customHeight="1" x14ac:dyDescent="0.25"/>
    <row r="246" ht="16.5" customHeight="1" x14ac:dyDescent="0.25"/>
    <row r="247" ht="16.5" customHeight="1" x14ac:dyDescent="0.25"/>
    <row r="248" ht="16.5" customHeight="1" x14ac:dyDescent="0.25"/>
    <row r="249" ht="16.5" customHeight="1" x14ac:dyDescent="0.25"/>
    <row r="250" ht="16.5" customHeight="1" x14ac:dyDescent="0.25"/>
    <row r="251" ht="16.5" customHeight="1" x14ac:dyDescent="0.25"/>
    <row r="252" ht="16.5" customHeight="1" x14ac:dyDescent="0.25"/>
    <row r="253" ht="16.5" customHeight="1" x14ac:dyDescent="0.25"/>
    <row r="254" ht="16.5" customHeight="1" x14ac:dyDescent="0.25"/>
    <row r="255" ht="16.5" customHeight="1" x14ac:dyDescent="0.25"/>
    <row r="256" ht="16.5" customHeight="1" x14ac:dyDescent="0.25"/>
    <row r="257" ht="16.5" customHeight="1" x14ac:dyDescent="0.25"/>
    <row r="258" ht="16.5" customHeight="1" x14ac:dyDescent="0.25"/>
    <row r="259" ht="16.5" customHeight="1" x14ac:dyDescent="0.25"/>
    <row r="260" ht="16.5" customHeight="1" x14ac:dyDescent="0.25"/>
    <row r="261" ht="16.5" customHeight="1" x14ac:dyDescent="0.25"/>
    <row r="262" ht="16.5" customHeight="1" x14ac:dyDescent="0.25"/>
    <row r="263" ht="16.5" customHeight="1" x14ac:dyDescent="0.25"/>
    <row r="264" ht="16.5" customHeight="1" x14ac:dyDescent="0.25"/>
    <row r="265" ht="16.5" customHeight="1" x14ac:dyDescent="0.25"/>
    <row r="266" ht="16.5" customHeight="1" x14ac:dyDescent="0.25"/>
    <row r="267" ht="16.5" customHeight="1" x14ac:dyDescent="0.25"/>
    <row r="268" ht="16.5" customHeight="1" x14ac:dyDescent="0.25"/>
    <row r="269" ht="16.5" customHeight="1" x14ac:dyDescent="0.25"/>
    <row r="270" ht="16.5" customHeight="1" x14ac:dyDescent="0.25"/>
    <row r="271" ht="16.5" customHeight="1" x14ac:dyDescent="0.25"/>
    <row r="272" ht="16.5" customHeight="1" x14ac:dyDescent="0.25"/>
    <row r="273" ht="16.5" customHeight="1" x14ac:dyDescent="0.25"/>
    <row r="274" ht="16.5" customHeight="1" x14ac:dyDescent="0.25"/>
    <row r="275" ht="16.5" customHeight="1" x14ac:dyDescent="0.25"/>
    <row r="276" ht="16.5" customHeight="1" x14ac:dyDescent="0.25"/>
    <row r="277" ht="16.5" customHeight="1" x14ac:dyDescent="0.25"/>
    <row r="278" ht="16.5" customHeight="1" x14ac:dyDescent="0.25"/>
    <row r="279" ht="16.5" customHeight="1" x14ac:dyDescent="0.25"/>
    <row r="280" ht="16.5" customHeight="1" x14ac:dyDescent="0.25"/>
    <row r="281" ht="16.5" customHeight="1" x14ac:dyDescent="0.25"/>
    <row r="282" ht="16.5" customHeight="1" x14ac:dyDescent="0.25"/>
    <row r="283" ht="16.5" customHeight="1" x14ac:dyDescent="0.25"/>
    <row r="284" ht="16.5" customHeight="1" x14ac:dyDescent="0.25"/>
    <row r="285" ht="16.5" customHeight="1" x14ac:dyDescent="0.25"/>
    <row r="286" ht="16.5" customHeight="1" x14ac:dyDescent="0.25"/>
    <row r="287" ht="16.5" customHeight="1" x14ac:dyDescent="0.25"/>
    <row r="288" ht="16.5" customHeight="1" x14ac:dyDescent="0.25"/>
    <row r="289" ht="16.5" customHeight="1" x14ac:dyDescent="0.25"/>
    <row r="290" ht="16.5" customHeight="1" x14ac:dyDescent="0.25"/>
    <row r="291" ht="16.5" customHeight="1" x14ac:dyDescent="0.25"/>
    <row r="292" ht="16.5" customHeight="1" x14ac:dyDescent="0.25"/>
    <row r="293" ht="16.5" customHeight="1" x14ac:dyDescent="0.25"/>
    <row r="294" ht="16.5" customHeight="1" x14ac:dyDescent="0.25"/>
    <row r="295" ht="16.5" customHeight="1" x14ac:dyDescent="0.25"/>
    <row r="296" ht="16.5" customHeight="1" x14ac:dyDescent="0.25"/>
    <row r="297" ht="16.5" customHeight="1" x14ac:dyDescent="0.25"/>
    <row r="298" ht="16.5" customHeight="1" x14ac:dyDescent="0.25"/>
    <row r="299" ht="16.5" customHeight="1" x14ac:dyDescent="0.25"/>
    <row r="300" ht="16.5" customHeight="1" x14ac:dyDescent="0.25"/>
    <row r="301" ht="16.5" customHeight="1" x14ac:dyDescent="0.25"/>
    <row r="302" ht="16.5" customHeight="1" x14ac:dyDescent="0.25"/>
    <row r="303" ht="16.5" customHeight="1" x14ac:dyDescent="0.25"/>
    <row r="304" ht="16.5" customHeight="1" x14ac:dyDescent="0.25"/>
    <row r="305" ht="16.5" customHeight="1" x14ac:dyDescent="0.25"/>
    <row r="306" ht="16.5" customHeight="1" x14ac:dyDescent="0.25"/>
    <row r="307" ht="16.5" customHeight="1" x14ac:dyDescent="0.25"/>
    <row r="308" ht="16.5" customHeight="1" x14ac:dyDescent="0.25"/>
    <row r="309" ht="16.5" customHeight="1" x14ac:dyDescent="0.25"/>
    <row r="310" ht="16.5" customHeight="1" x14ac:dyDescent="0.25"/>
    <row r="311" ht="16.5" customHeight="1" x14ac:dyDescent="0.25"/>
    <row r="312" ht="16.5" customHeight="1" x14ac:dyDescent="0.25"/>
    <row r="313" ht="16.5" customHeight="1" x14ac:dyDescent="0.25"/>
    <row r="314" ht="16.5" customHeight="1" x14ac:dyDescent="0.25"/>
    <row r="315" ht="16.5" customHeight="1" x14ac:dyDescent="0.25"/>
    <row r="316" ht="16.5" customHeight="1" x14ac:dyDescent="0.25"/>
    <row r="317" ht="16.5" customHeight="1" x14ac:dyDescent="0.25"/>
    <row r="318" ht="16.5" customHeight="1" x14ac:dyDescent="0.25"/>
    <row r="319" ht="16.5" customHeight="1" x14ac:dyDescent="0.25"/>
    <row r="320" ht="16.5" customHeight="1" x14ac:dyDescent="0.25"/>
    <row r="321" ht="16.5" customHeight="1" x14ac:dyDescent="0.25"/>
    <row r="322" ht="16.5" customHeight="1" x14ac:dyDescent="0.25"/>
    <row r="323" ht="16.5" customHeight="1" x14ac:dyDescent="0.25"/>
    <row r="324" ht="16.5" customHeight="1" x14ac:dyDescent="0.25"/>
    <row r="325" ht="16.5" customHeight="1" x14ac:dyDescent="0.25"/>
    <row r="326" ht="16.5" customHeight="1" x14ac:dyDescent="0.25"/>
    <row r="327" ht="16.5" customHeight="1" x14ac:dyDescent="0.25"/>
    <row r="328" ht="16.5" customHeight="1" x14ac:dyDescent="0.25"/>
    <row r="329" ht="16.5" customHeight="1" x14ac:dyDescent="0.25"/>
    <row r="330" ht="16.5" customHeight="1" x14ac:dyDescent="0.25"/>
    <row r="331" ht="16.5" customHeight="1" x14ac:dyDescent="0.25"/>
    <row r="332" ht="16.5" customHeight="1" x14ac:dyDescent="0.25"/>
    <row r="333" ht="16.5" customHeight="1" x14ac:dyDescent="0.25"/>
    <row r="334" ht="16.5" customHeight="1" x14ac:dyDescent="0.25"/>
    <row r="335" ht="16.5" customHeight="1" x14ac:dyDescent="0.25"/>
    <row r="336" ht="16.5" customHeight="1" x14ac:dyDescent="0.25"/>
    <row r="337" ht="16.5" customHeight="1" x14ac:dyDescent="0.25"/>
    <row r="338" ht="16.5" customHeight="1" x14ac:dyDescent="0.25"/>
    <row r="339" ht="16.5" customHeight="1" x14ac:dyDescent="0.25"/>
    <row r="340" ht="16.5" customHeight="1" x14ac:dyDescent="0.25"/>
    <row r="341" ht="16.5" customHeight="1" x14ac:dyDescent="0.25"/>
    <row r="342" ht="16.5" customHeight="1" x14ac:dyDescent="0.25"/>
    <row r="343" ht="16.5" customHeight="1" x14ac:dyDescent="0.25"/>
    <row r="344" ht="16.5" customHeight="1" x14ac:dyDescent="0.25"/>
    <row r="345" ht="16.5" customHeight="1" x14ac:dyDescent="0.25"/>
    <row r="346" ht="16.5" customHeight="1" x14ac:dyDescent="0.25"/>
    <row r="347" ht="16.5" customHeight="1" x14ac:dyDescent="0.25"/>
    <row r="348" ht="16.5" customHeight="1" x14ac:dyDescent="0.25"/>
    <row r="349" ht="16.5" customHeight="1" x14ac:dyDescent="0.25"/>
    <row r="350" ht="16.5" customHeight="1" x14ac:dyDescent="0.25"/>
    <row r="351" ht="16.5" customHeight="1" x14ac:dyDescent="0.25"/>
    <row r="352" ht="16.5" customHeight="1" x14ac:dyDescent="0.25"/>
    <row r="353" ht="16.5" customHeight="1" x14ac:dyDescent="0.25"/>
    <row r="354" ht="16.5" customHeight="1" x14ac:dyDescent="0.25"/>
    <row r="355" ht="16.5" customHeight="1" x14ac:dyDescent="0.25"/>
    <row r="356" ht="16.5" customHeight="1" x14ac:dyDescent="0.25"/>
    <row r="357" ht="16.5" customHeight="1" x14ac:dyDescent="0.25"/>
    <row r="358" ht="16.5" customHeight="1" x14ac:dyDescent="0.25"/>
    <row r="359" ht="16.5" customHeight="1" x14ac:dyDescent="0.25"/>
    <row r="360" ht="16.5" customHeight="1" x14ac:dyDescent="0.25"/>
    <row r="361" ht="16.5" customHeight="1" x14ac:dyDescent="0.25"/>
    <row r="362" ht="16.5" customHeight="1" x14ac:dyDescent="0.25"/>
    <row r="363" ht="16.5" customHeight="1" x14ac:dyDescent="0.25"/>
    <row r="364" ht="16.5" customHeight="1" x14ac:dyDescent="0.25"/>
    <row r="365" ht="16.5" customHeight="1" x14ac:dyDescent="0.25"/>
    <row r="366" ht="16.5" customHeight="1" x14ac:dyDescent="0.25"/>
    <row r="367" ht="16.5" customHeight="1" x14ac:dyDescent="0.25"/>
    <row r="368" ht="16.5" customHeight="1" x14ac:dyDescent="0.25"/>
    <row r="369" ht="16.5" customHeight="1" x14ac:dyDescent="0.25"/>
    <row r="370" ht="16.5" customHeight="1" x14ac:dyDescent="0.25"/>
    <row r="371" ht="16.5" customHeight="1" x14ac:dyDescent="0.25"/>
    <row r="372" ht="16.5" customHeight="1" x14ac:dyDescent="0.25"/>
    <row r="373" ht="16.5" customHeight="1" x14ac:dyDescent="0.25"/>
    <row r="374" ht="16.5" customHeight="1" x14ac:dyDescent="0.25"/>
    <row r="375" ht="16.5" customHeight="1" x14ac:dyDescent="0.25"/>
    <row r="376" ht="16.5" customHeight="1" x14ac:dyDescent="0.25"/>
    <row r="377" ht="16.5" customHeight="1" x14ac:dyDescent="0.25"/>
    <row r="378" ht="16.5" customHeight="1" x14ac:dyDescent="0.25"/>
    <row r="379" ht="16.5" customHeight="1" x14ac:dyDescent="0.25"/>
    <row r="380" ht="16.5" customHeight="1" x14ac:dyDescent="0.25"/>
    <row r="381" ht="16.5" customHeight="1" x14ac:dyDescent="0.25"/>
    <row r="382" ht="16.5" customHeight="1" x14ac:dyDescent="0.25"/>
    <row r="383" ht="16.5" customHeight="1" x14ac:dyDescent="0.25"/>
    <row r="384" ht="16.5" customHeight="1" x14ac:dyDescent="0.25"/>
    <row r="385" ht="16.5" customHeight="1" x14ac:dyDescent="0.25"/>
    <row r="386" ht="16.5" customHeight="1" x14ac:dyDescent="0.25"/>
    <row r="387" ht="16.5" customHeight="1" x14ac:dyDescent="0.25"/>
    <row r="388" ht="16.5" customHeight="1" x14ac:dyDescent="0.25"/>
    <row r="389" ht="16.5" customHeight="1" x14ac:dyDescent="0.25"/>
    <row r="390" ht="16.5" customHeight="1" x14ac:dyDescent="0.25"/>
    <row r="391" ht="16.5" customHeight="1" x14ac:dyDescent="0.25"/>
    <row r="392" ht="16.5" customHeight="1" x14ac:dyDescent="0.25"/>
    <row r="393" ht="16.5" customHeight="1" x14ac:dyDescent="0.25"/>
    <row r="394" ht="16.5" customHeight="1" x14ac:dyDescent="0.25"/>
    <row r="395" ht="16.5" customHeight="1" x14ac:dyDescent="0.25"/>
    <row r="396" ht="16.5" customHeight="1" x14ac:dyDescent="0.25"/>
    <row r="397" ht="16.5" customHeight="1" x14ac:dyDescent="0.25"/>
    <row r="398" ht="16.5" customHeight="1" x14ac:dyDescent="0.25"/>
    <row r="399" ht="16.5" customHeight="1" x14ac:dyDescent="0.25"/>
    <row r="400" ht="16.5" customHeight="1" x14ac:dyDescent="0.25"/>
    <row r="401" ht="16.5" customHeight="1" x14ac:dyDescent="0.25"/>
    <row r="402" ht="16.5" customHeight="1" x14ac:dyDescent="0.25"/>
    <row r="403" ht="16.5" customHeight="1" x14ac:dyDescent="0.25"/>
    <row r="404" ht="16.5" customHeight="1" x14ac:dyDescent="0.25"/>
    <row r="405" ht="16.5" customHeight="1" x14ac:dyDescent="0.25"/>
    <row r="406" ht="16.5" customHeight="1" x14ac:dyDescent="0.25"/>
    <row r="407" ht="16.5" customHeight="1" x14ac:dyDescent="0.25"/>
    <row r="408" ht="16.5" customHeight="1" x14ac:dyDescent="0.25"/>
    <row r="409" ht="16.5" customHeight="1" x14ac:dyDescent="0.25"/>
    <row r="410" ht="16.5" customHeight="1" x14ac:dyDescent="0.25"/>
    <row r="411" ht="16.5" customHeight="1" x14ac:dyDescent="0.25"/>
    <row r="412" ht="16.5" customHeight="1" x14ac:dyDescent="0.25"/>
    <row r="413" ht="16.5" customHeight="1" x14ac:dyDescent="0.25"/>
    <row r="414" ht="16.5" customHeight="1" x14ac:dyDescent="0.25"/>
    <row r="415" ht="16.5" customHeight="1" x14ac:dyDescent="0.25"/>
    <row r="416" ht="16.5" customHeight="1" x14ac:dyDescent="0.25"/>
    <row r="417" ht="16.5" customHeight="1" x14ac:dyDescent="0.25"/>
    <row r="418" ht="16.5" customHeight="1" x14ac:dyDescent="0.25"/>
    <row r="419" ht="16.5" customHeight="1" x14ac:dyDescent="0.25"/>
    <row r="420" ht="16.5" customHeight="1" x14ac:dyDescent="0.25"/>
    <row r="421" ht="16.5" customHeight="1" x14ac:dyDescent="0.25"/>
    <row r="422" ht="16.5" customHeight="1" x14ac:dyDescent="0.25"/>
    <row r="423" ht="16.5" customHeight="1" x14ac:dyDescent="0.25"/>
    <row r="424" ht="16.5" customHeight="1" x14ac:dyDescent="0.25"/>
    <row r="425" ht="16.5" customHeight="1" x14ac:dyDescent="0.25"/>
    <row r="426" ht="16.5" customHeight="1" x14ac:dyDescent="0.25"/>
    <row r="427" ht="16.5" customHeight="1" x14ac:dyDescent="0.25"/>
    <row r="428" ht="16.5" customHeight="1" x14ac:dyDescent="0.25"/>
    <row r="429" ht="16.5" customHeight="1" x14ac:dyDescent="0.25"/>
    <row r="430" ht="16.5" customHeight="1" x14ac:dyDescent="0.25"/>
    <row r="431" ht="16.5" customHeight="1" x14ac:dyDescent="0.25"/>
    <row r="432" ht="16.5" customHeight="1" x14ac:dyDescent="0.25"/>
    <row r="433" ht="16.5" customHeight="1" x14ac:dyDescent="0.25"/>
    <row r="434" ht="16.5" customHeight="1" x14ac:dyDescent="0.25"/>
    <row r="435" ht="16.5" customHeight="1" x14ac:dyDescent="0.25"/>
    <row r="436" ht="16.5" customHeight="1" x14ac:dyDescent="0.25"/>
    <row r="437" ht="16.5" customHeight="1" x14ac:dyDescent="0.25"/>
    <row r="438" ht="16.5" customHeight="1" x14ac:dyDescent="0.25"/>
    <row r="439" ht="16.5" customHeight="1" x14ac:dyDescent="0.25"/>
    <row r="440" ht="16.5" customHeight="1" x14ac:dyDescent="0.25"/>
    <row r="441" ht="16.5" customHeight="1" x14ac:dyDescent="0.25"/>
    <row r="442" ht="16.5" customHeight="1" x14ac:dyDescent="0.25"/>
    <row r="443" ht="16.5" customHeight="1" x14ac:dyDescent="0.25"/>
    <row r="444" ht="16.5" customHeight="1" x14ac:dyDescent="0.25"/>
    <row r="445" ht="16.5" customHeight="1" x14ac:dyDescent="0.25"/>
    <row r="446" ht="16.5" customHeight="1" x14ac:dyDescent="0.25"/>
    <row r="447" ht="16.5" customHeight="1" x14ac:dyDescent="0.25"/>
    <row r="448" ht="16.5" customHeight="1" x14ac:dyDescent="0.25"/>
    <row r="449" ht="16.5" customHeight="1" x14ac:dyDescent="0.25"/>
    <row r="450" ht="16.5" customHeight="1" x14ac:dyDescent="0.25"/>
    <row r="451" ht="16.5" customHeight="1" x14ac:dyDescent="0.25"/>
    <row r="452" ht="16.5" customHeight="1" x14ac:dyDescent="0.25"/>
    <row r="453" ht="16.5" customHeight="1" x14ac:dyDescent="0.25"/>
    <row r="454" ht="16.5" customHeight="1" x14ac:dyDescent="0.25"/>
    <row r="455" ht="16.5" customHeight="1" x14ac:dyDescent="0.25"/>
    <row r="456" ht="16.5" customHeight="1" x14ac:dyDescent="0.25"/>
    <row r="457" ht="16.5" customHeight="1" x14ac:dyDescent="0.25"/>
    <row r="458" ht="16.5" customHeight="1" x14ac:dyDescent="0.25"/>
    <row r="459" ht="16.5" customHeight="1" x14ac:dyDescent="0.25"/>
    <row r="460" ht="16.5" customHeight="1" x14ac:dyDescent="0.25"/>
    <row r="461" ht="16.5" customHeight="1" x14ac:dyDescent="0.25"/>
    <row r="462" ht="16.5" customHeight="1" x14ac:dyDescent="0.25"/>
    <row r="463" ht="16.5" customHeight="1" x14ac:dyDescent="0.25"/>
    <row r="464" ht="16.5" customHeight="1" x14ac:dyDescent="0.25"/>
    <row r="465" ht="16.5" customHeight="1" x14ac:dyDescent="0.25"/>
    <row r="466" ht="16.5" customHeight="1" x14ac:dyDescent="0.25"/>
    <row r="467" ht="16.5" customHeight="1" x14ac:dyDescent="0.25"/>
    <row r="468" ht="16.5" customHeight="1" x14ac:dyDescent="0.25"/>
    <row r="469" ht="16.5" customHeight="1" x14ac:dyDescent="0.25"/>
    <row r="470" ht="16.5" customHeight="1" x14ac:dyDescent="0.25"/>
    <row r="471" ht="16.5" customHeight="1" x14ac:dyDescent="0.25"/>
    <row r="472" ht="16.5" customHeight="1" x14ac:dyDescent="0.25"/>
    <row r="473" ht="16.5" customHeight="1" x14ac:dyDescent="0.25"/>
    <row r="474" ht="16.5" customHeight="1" x14ac:dyDescent="0.25"/>
    <row r="475" ht="16.5" customHeight="1" x14ac:dyDescent="0.25"/>
    <row r="476" ht="16.5" customHeight="1" x14ac:dyDescent="0.25"/>
    <row r="477" ht="16.5" customHeight="1" x14ac:dyDescent="0.25"/>
    <row r="478" ht="16.5" customHeight="1" x14ac:dyDescent="0.25"/>
    <row r="479" ht="16.5" customHeight="1" x14ac:dyDescent="0.25"/>
    <row r="480" ht="16.5" customHeight="1" x14ac:dyDescent="0.25"/>
    <row r="481" ht="16.5" customHeight="1" x14ac:dyDescent="0.25"/>
    <row r="482" ht="16.5" customHeight="1" x14ac:dyDescent="0.25"/>
    <row r="483" ht="16.5" customHeight="1" x14ac:dyDescent="0.25"/>
    <row r="484" ht="16.5" customHeight="1" x14ac:dyDescent="0.25"/>
    <row r="485" ht="16.5" customHeight="1" x14ac:dyDescent="0.25"/>
    <row r="486" ht="16.5" customHeight="1" x14ac:dyDescent="0.25"/>
    <row r="487" ht="16.5" customHeight="1" x14ac:dyDescent="0.25"/>
    <row r="488" ht="16.5" customHeight="1" x14ac:dyDescent="0.25"/>
    <row r="489" ht="16.5" customHeight="1" x14ac:dyDescent="0.25"/>
    <row r="490" ht="16.5" customHeight="1" x14ac:dyDescent="0.25"/>
    <row r="491" ht="16.5" customHeight="1" x14ac:dyDescent="0.25"/>
    <row r="492" ht="16.5" customHeight="1" x14ac:dyDescent="0.25"/>
    <row r="493" ht="16.5" customHeight="1" x14ac:dyDescent="0.25"/>
    <row r="494" ht="16.5" customHeight="1" x14ac:dyDescent="0.25"/>
    <row r="495" ht="16.5" customHeight="1" x14ac:dyDescent="0.25"/>
    <row r="496" ht="16.5" customHeight="1" x14ac:dyDescent="0.25"/>
    <row r="497" ht="16.5" customHeight="1" x14ac:dyDescent="0.25"/>
    <row r="498" ht="16.5" customHeight="1" x14ac:dyDescent="0.25"/>
    <row r="499" ht="16.5" customHeight="1" x14ac:dyDescent="0.25"/>
    <row r="500" ht="16.5" customHeight="1" x14ac:dyDescent="0.25"/>
    <row r="501" ht="16.5" customHeight="1" x14ac:dyDescent="0.25"/>
    <row r="502" ht="16.5" customHeight="1" x14ac:dyDescent="0.25"/>
    <row r="503" ht="16.5" customHeight="1" x14ac:dyDescent="0.25"/>
    <row r="504" ht="16.5" customHeight="1" x14ac:dyDescent="0.25"/>
    <row r="505" ht="16.5" customHeight="1" x14ac:dyDescent="0.25"/>
    <row r="506" ht="16.5" customHeight="1" x14ac:dyDescent="0.25"/>
    <row r="507" ht="16.5" customHeight="1" x14ac:dyDescent="0.25"/>
    <row r="508" ht="16.5" customHeight="1" x14ac:dyDescent="0.25"/>
    <row r="509" ht="16.5" customHeight="1" x14ac:dyDescent="0.25"/>
    <row r="510" ht="16.5" customHeight="1" x14ac:dyDescent="0.25"/>
    <row r="511" ht="16.5" customHeight="1" x14ac:dyDescent="0.25"/>
    <row r="512" ht="16.5" customHeight="1" x14ac:dyDescent="0.25"/>
    <row r="513" ht="16.5" customHeight="1" x14ac:dyDescent="0.25"/>
    <row r="514" ht="16.5" customHeight="1" x14ac:dyDescent="0.25"/>
    <row r="515" ht="16.5" customHeight="1" x14ac:dyDescent="0.25"/>
    <row r="516" ht="16.5" customHeight="1" x14ac:dyDescent="0.25"/>
    <row r="517" ht="16.5" customHeight="1" x14ac:dyDescent="0.25"/>
    <row r="518" ht="16.5" customHeight="1" x14ac:dyDescent="0.25"/>
    <row r="519" ht="16.5" customHeight="1" x14ac:dyDescent="0.25"/>
    <row r="520" ht="16.5" customHeight="1" x14ac:dyDescent="0.25"/>
    <row r="521" ht="16.5" customHeight="1" x14ac:dyDescent="0.25"/>
    <row r="522" ht="16.5" customHeight="1" x14ac:dyDescent="0.25"/>
    <row r="523" ht="16.5" customHeight="1" x14ac:dyDescent="0.25"/>
    <row r="524" ht="16.5" customHeight="1" x14ac:dyDescent="0.25"/>
    <row r="525" ht="16.5" customHeight="1" x14ac:dyDescent="0.25"/>
    <row r="526" ht="16.5" customHeight="1" x14ac:dyDescent="0.25"/>
    <row r="527" ht="16.5" customHeight="1" x14ac:dyDescent="0.25"/>
    <row r="528" ht="16.5" customHeight="1" x14ac:dyDescent="0.25"/>
    <row r="529" ht="16.5" customHeight="1" x14ac:dyDescent="0.25"/>
    <row r="530" ht="16.5" customHeight="1" x14ac:dyDescent="0.25"/>
    <row r="531" ht="16.5" customHeight="1" x14ac:dyDescent="0.25"/>
    <row r="532" ht="16.5" customHeight="1" x14ac:dyDescent="0.25"/>
    <row r="533" ht="16.5" customHeight="1" x14ac:dyDescent="0.25"/>
    <row r="534" ht="16.5" customHeight="1" x14ac:dyDescent="0.25"/>
    <row r="535" ht="16.5" customHeight="1" x14ac:dyDescent="0.25"/>
    <row r="536" ht="16.5" customHeight="1" x14ac:dyDescent="0.25"/>
    <row r="537" ht="16.5" customHeight="1" x14ac:dyDescent="0.25"/>
    <row r="538" ht="16.5" customHeight="1" x14ac:dyDescent="0.25"/>
    <row r="539" ht="16.5" customHeight="1" x14ac:dyDescent="0.25"/>
    <row r="540" ht="16.5" customHeight="1" x14ac:dyDescent="0.25"/>
    <row r="541" ht="16.5" customHeight="1" x14ac:dyDescent="0.25"/>
    <row r="542" ht="16.5" customHeight="1" x14ac:dyDescent="0.25"/>
    <row r="543" ht="16.5" customHeight="1" x14ac:dyDescent="0.25"/>
    <row r="544" ht="16.5" customHeight="1" x14ac:dyDescent="0.25"/>
    <row r="545" ht="16.5" customHeight="1" x14ac:dyDescent="0.25"/>
    <row r="546" ht="16.5" customHeight="1" x14ac:dyDescent="0.25"/>
    <row r="547" ht="16.5" customHeight="1" x14ac:dyDescent="0.25"/>
    <row r="548" ht="16.5" customHeight="1" x14ac:dyDescent="0.25"/>
    <row r="549" ht="16.5" customHeight="1" x14ac:dyDescent="0.25"/>
    <row r="550" ht="16.5" customHeight="1" x14ac:dyDescent="0.25"/>
    <row r="551" ht="16.5" customHeight="1" x14ac:dyDescent="0.25"/>
    <row r="552" ht="16.5" customHeight="1" x14ac:dyDescent="0.25"/>
    <row r="553" ht="16.5" customHeight="1" x14ac:dyDescent="0.25"/>
    <row r="554" ht="16.5" customHeight="1" x14ac:dyDescent="0.25"/>
    <row r="555" ht="16.5" customHeight="1" x14ac:dyDescent="0.25"/>
    <row r="556" ht="16.5" customHeight="1" x14ac:dyDescent="0.25"/>
    <row r="557" ht="16.5" customHeight="1" x14ac:dyDescent="0.25"/>
    <row r="558" ht="16.5" customHeight="1" x14ac:dyDescent="0.25"/>
    <row r="559" ht="16.5" customHeight="1" x14ac:dyDescent="0.25"/>
    <row r="560" ht="16.5" customHeight="1" x14ac:dyDescent="0.25"/>
    <row r="561" ht="16.5" customHeight="1" x14ac:dyDescent="0.25"/>
    <row r="562" ht="16.5" customHeight="1" x14ac:dyDescent="0.25"/>
    <row r="563" ht="16.5" customHeight="1" x14ac:dyDescent="0.25"/>
    <row r="564" ht="16.5" customHeight="1" x14ac:dyDescent="0.25"/>
    <row r="565" ht="16.5" customHeight="1" x14ac:dyDescent="0.25"/>
    <row r="566" ht="16.5" customHeight="1" x14ac:dyDescent="0.25"/>
    <row r="567" ht="16.5" customHeight="1" x14ac:dyDescent="0.25"/>
    <row r="568" ht="16.5" customHeight="1" x14ac:dyDescent="0.25"/>
    <row r="569" ht="16.5" customHeight="1" x14ac:dyDescent="0.25"/>
    <row r="570" ht="16.5" customHeight="1" x14ac:dyDescent="0.25"/>
    <row r="571" ht="16.5" customHeight="1" x14ac:dyDescent="0.25"/>
    <row r="572" ht="16.5" customHeight="1" x14ac:dyDescent="0.25"/>
    <row r="573" ht="16.5" customHeight="1" x14ac:dyDescent="0.25"/>
    <row r="574" ht="16.5" customHeight="1" x14ac:dyDescent="0.25"/>
    <row r="575" ht="16.5" customHeight="1" x14ac:dyDescent="0.25"/>
    <row r="576" ht="16.5" customHeight="1" x14ac:dyDescent="0.25"/>
    <row r="577" ht="16.5" customHeight="1" x14ac:dyDescent="0.25"/>
    <row r="578" ht="16.5" customHeight="1" x14ac:dyDescent="0.25"/>
    <row r="579" ht="16.5" customHeight="1" x14ac:dyDescent="0.25"/>
    <row r="580" ht="16.5" customHeight="1" x14ac:dyDescent="0.25"/>
    <row r="581" ht="16.5" customHeight="1" x14ac:dyDescent="0.25"/>
    <row r="582" ht="16.5" customHeight="1" x14ac:dyDescent="0.25"/>
    <row r="583" ht="16.5" customHeight="1" x14ac:dyDescent="0.25"/>
    <row r="584" ht="16.5" customHeight="1" x14ac:dyDescent="0.25"/>
    <row r="585" ht="16.5" customHeight="1" x14ac:dyDescent="0.25"/>
    <row r="586" ht="16.5" customHeight="1" x14ac:dyDescent="0.25"/>
    <row r="587" ht="16.5" customHeight="1" x14ac:dyDescent="0.25"/>
    <row r="588" ht="16.5" customHeight="1" x14ac:dyDescent="0.25"/>
    <row r="589" ht="16.5" customHeight="1" x14ac:dyDescent="0.25"/>
    <row r="590" ht="16.5" customHeight="1" x14ac:dyDescent="0.25"/>
    <row r="591" ht="16.5" customHeight="1" x14ac:dyDescent="0.25"/>
    <row r="592" ht="16.5" customHeight="1" x14ac:dyDescent="0.25"/>
    <row r="593" ht="16.5" customHeight="1" x14ac:dyDescent="0.25"/>
    <row r="594" ht="16.5" customHeight="1" x14ac:dyDescent="0.25"/>
    <row r="595" ht="16.5" customHeight="1" x14ac:dyDescent="0.25"/>
    <row r="596" ht="16.5" customHeight="1" x14ac:dyDescent="0.25"/>
    <row r="597" ht="16.5" customHeight="1" x14ac:dyDescent="0.25"/>
    <row r="598" ht="16.5" customHeight="1" x14ac:dyDescent="0.25"/>
    <row r="599" ht="16.5" customHeight="1" x14ac:dyDescent="0.25"/>
    <row r="600" ht="16.5" customHeight="1" x14ac:dyDescent="0.25"/>
    <row r="601" ht="16.5" customHeight="1" x14ac:dyDescent="0.25"/>
    <row r="602" ht="16.5" customHeight="1" x14ac:dyDescent="0.25"/>
    <row r="603" ht="16.5" customHeight="1" x14ac:dyDescent="0.25"/>
    <row r="604" ht="16.5" customHeight="1" x14ac:dyDescent="0.25"/>
    <row r="605" ht="16.5" customHeight="1" x14ac:dyDescent="0.25"/>
    <row r="606" ht="16.5" customHeight="1" x14ac:dyDescent="0.25"/>
    <row r="607" ht="16.5" customHeight="1" x14ac:dyDescent="0.25"/>
    <row r="608" ht="16.5" customHeight="1" x14ac:dyDescent="0.25"/>
    <row r="609" ht="16.5" customHeight="1" x14ac:dyDescent="0.25"/>
    <row r="610" ht="16.5" customHeight="1" x14ac:dyDescent="0.25"/>
    <row r="611" ht="16.5" customHeight="1" x14ac:dyDescent="0.25"/>
    <row r="612" ht="16.5" customHeight="1" x14ac:dyDescent="0.25"/>
    <row r="613" ht="16.5" customHeight="1" x14ac:dyDescent="0.25"/>
    <row r="614" ht="16.5" customHeight="1" x14ac:dyDescent="0.25"/>
    <row r="615" ht="16.5" customHeight="1" x14ac:dyDescent="0.25"/>
    <row r="616" ht="16.5" customHeight="1" x14ac:dyDescent="0.25"/>
    <row r="617" ht="16.5" customHeight="1" x14ac:dyDescent="0.25"/>
    <row r="618" ht="16.5" customHeight="1" x14ac:dyDescent="0.25"/>
    <row r="619" ht="16.5" customHeight="1" x14ac:dyDescent="0.25"/>
    <row r="620" ht="16.5" customHeight="1" x14ac:dyDescent="0.25"/>
    <row r="621" ht="16.5" customHeight="1" x14ac:dyDescent="0.25"/>
    <row r="622" ht="16.5" customHeight="1" x14ac:dyDescent="0.25"/>
    <row r="623" ht="16.5" customHeight="1" x14ac:dyDescent="0.25"/>
    <row r="624" ht="16.5" customHeight="1" x14ac:dyDescent="0.25"/>
    <row r="625" ht="16.5" customHeight="1" x14ac:dyDescent="0.25"/>
    <row r="626" ht="16.5" customHeight="1" x14ac:dyDescent="0.25"/>
    <row r="627" ht="16.5" customHeight="1" x14ac:dyDescent="0.25"/>
    <row r="628" ht="16.5" customHeight="1" x14ac:dyDescent="0.25"/>
    <row r="629" ht="16.5" customHeight="1" x14ac:dyDescent="0.25"/>
    <row r="630" ht="16.5" customHeight="1" x14ac:dyDescent="0.25"/>
    <row r="631" ht="16.5" customHeight="1" x14ac:dyDescent="0.25"/>
    <row r="632" ht="16.5" customHeight="1" x14ac:dyDescent="0.25"/>
    <row r="633" ht="16.5" customHeight="1" x14ac:dyDescent="0.25"/>
    <row r="634" ht="16.5" customHeight="1" x14ac:dyDescent="0.25"/>
    <row r="635" ht="16.5" customHeight="1" x14ac:dyDescent="0.25"/>
    <row r="636" ht="16.5" customHeight="1" x14ac:dyDescent="0.25"/>
    <row r="637" ht="16.5" customHeight="1" x14ac:dyDescent="0.25"/>
    <row r="638" ht="16.5" customHeight="1" x14ac:dyDescent="0.25"/>
    <row r="639" ht="16.5" customHeight="1" x14ac:dyDescent="0.25"/>
    <row r="640" ht="16.5" customHeight="1" x14ac:dyDescent="0.25"/>
    <row r="641" ht="16.5" customHeight="1" x14ac:dyDescent="0.25"/>
    <row r="642" ht="16.5" customHeight="1" x14ac:dyDescent="0.25"/>
    <row r="643" ht="16.5" customHeight="1" x14ac:dyDescent="0.25"/>
    <row r="644" ht="16.5" customHeight="1" x14ac:dyDescent="0.25"/>
    <row r="645" ht="16.5" customHeight="1" x14ac:dyDescent="0.25"/>
    <row r="646" ht="16.5" customHeight="1" x14ac:dyDescent="0.25"/>
    <row r="647" ht="16.5" customHeight="1" x14ac:dyDescent="0.25"/>
    <row r="648" ht="16.5" customHeight="1" x14ac:dyDescent="0.25"/>
    <row r="649" ht="16.5" customHeight="1" x14ac:dyDescent="0.25"/>
    <row r="650" ht="16.5" customHeight="1" x14ac:dyDescent="0.25"/>
    <row r="651" ht="16.5" customHeight="1" x14ac:dyDescent="0.25"/>
    <row r="652" ht="16.5" customHeight="1" x14ac:dyDescent="0.25"/>
    <row r="653" ht="16.5" customHeight="1" x14ac:dyDescent="0.25"/>
    <row r="654" ht="16.5" customHeight="1" x14ac:dyDescent="0.25"/>
    <row r="655" ht="16.5" customHeight="1" x14ac:dyDescent="0.25"/>
    <row r="656" ht="16.5" customHeight="1" x14ac:dyDescent="0.25"/>
    <row r="657" ht="16.5" customHeight="1" x14ac:dyDescent="0.25"/>
    <row r="658" ht="16.5" customHeight="1" x14ac:dyDescent="0.25"/>
    <row r="659" ht="16.5" customHeight="1" x14ac:dyDescent="0.25"/>
    <row r="660" ht="16.5" customHeight="1" x14ac:dyDescent="0.25"/>
    <row r="661" ht="16.5" customHeight="1" x14ac:dyDescent="0.25"/>
    <row r="662" ht="16.5" customHeight="1" x14ac:dyDescent="0.25"/>
    <row r="663" ht="16.5" customHeight="1" x14ac:dyDescent="0.25"/>
    <row r="664" ht="16.5" customHeight="1" x14ac:dyDescent="0.25"/>
    <row r="665" ht="16.5" customHeight="1" x14ac:dyDescent="0.25"/>
    <row r="666" ht="16.5" customHeight="1" x14ac:dyDescent="0.25"/>
    <row r="667" ht="16.5" customHeight="1" x14ac:dyDescent="0.25"/>
    <row r="668" ht="16.5" customHeight="1" x14ac:dyDescent="0.25"/>
    <row r="669" ht="16.5" customHeight="1" x14ac:dyDescent="0.25"/>
    <row r="670" ht="16.5" customHeight="1" x14ac:dyDescent="0.25"/>
    <row r="671" ht="16.5" customHeight="1" x14ac:dyDescent="0.25"/>
    <row r="672" ht="16.5" customHeight="1" x14ac:dyDescent="0.25"/>
    <row r="673" ht="16.5" customHeight="1" x14ac:dyDescent="0.25"/>
    <row r="674" ht="16.5" customHeight="1" x14ac:dyDescent="0.25"/>
    <row r="675" ht="16.5" customHeight="1" x14ac:dyDescent="0.25"/>
    <row r="676" ht="16.5" customHeight="1" x14ac:dyDescent="0.25"/>
    <row r="677" ht="16.5" customHeight="1" x14ac:dyDescent="0.25"/>
    <row r="678" ht="16.5" customHeight="1" x14ac:dyDescent="0.25"/>
    <row r="679" ht="16.5" customHeight="1" x14ac:dyDescent="0.25"/>
    <row r="680" ht="16.5" customHeight="1" x14ac:dyDescent="0.25"/>
    <row r="681" ht="16.5" customHeight="1" x14ac:dyDescent="0.25"/>
    <row r="682" ht="16.5" customHeight="1" x14ac:dyDescent="0.25"/>
    <row r="683" ht="16.5" customHeight="1" x14ac:dyDescent="0.25"/>
    <row r="684" ht="16.5" customHeight="1" x14ac:dyDescent="0.25"/>
    <row r="685" ht="16.5" customHeight="1" x14ac:dyDescent="0.25"/>
    <row r="686" ht="16.5" customHeight="1" x14ac:dyDescent="0.25"/>
    <row r="687" ht="16.5" customHeight="1" x14ac:dyDescent="0.25"/>
    <row r="688" ht="16.5" customHeight="1" x14ac:dyDescent="0.25"/>
    <row r="689" ht="16.5" customHeight="1" x14ac:dyDescent="0.25"/>
    <row r="690" ht="16.5" customHeight="1" x14ac:dyDescent="0.25"/>
    <row r="691" ht="16.5" customHeight="1" x14ac:dyDescent="0.25"/>
    <row r="692" ht="16.5" customHeight="1" x14ac:dyDescent="0.25"/>
    <row r="693" ht="16.5" customHeight="1" x14ac:dyDescent="0.25"/>
    <row r="694" ht="16.5" customHeight="1" x14ac:dyDescent="0.25"/>
    <row r="695" ht="16.5" customHeight="1" x14ac:dyDescent="0.25"/>
    <row r="696" ht="16.5" customHeight="1" x14ac:dyDescent="0.25"/>
    <row r="697" ht="16.5" customHeight="1" x14ac:dyDescent="0.25"/>
    <row r="698" ht="16.5" customHeight="1" x14ac:dyDescent="0.25"/>
    <row r="699" ht="16.5" customHeight="1" x14ac:dyDescent="0.25"/>
    <row r="700" ht="16.5" customHeight="1" x14ac:dyDescent="0.25"/>
    <row r="701" ht="16.5" customHeight="1" x14ac:dyDescent="0.25"/>
    <row r="702" ht="16.5" customHeight="1" x14ac:dyDescent="0.25"/>
    <row r="703" ht="16.5" customHeight="1" x14ac:dyDescent="0.25"/>
    <row r="704" ht="16.5" customHeight="1" x14ac:dyDescent="0.25"/>
    <row r="705" ht="16.5" customHeight="1" x14ac:dyDescent="0.25"/>
    <row r="706" ht="16.5" customHeight="1" x14ac:dyDescent="0.25"/>
    <row r="707" ht="16.5" customHeight="1" x14ac:dyDescent="0.25"/>
    <row r="708" ht="16.5" customHeight="1" x14ac:dyDescent="0.25"/>
    <row r="709" ht="16.5" customHeight="1" x14ac:dyDescent="0.25"/>
    <row r="710" ht="16.5" customHeight="1" x14ac:dyDescent="0.25"/>
    <row r="711" ht="16.5" customHeight="1" x14ac:dyDescent="0.25"/>
    <row r="712" ht="16.5" customHeight="1" x14ac:dyDescent="0.25"/>
    <row r="713" ht="16.5" customHeight="1" x14ac:dyDescent="0.25"/>
    <row r="714" ht="16.5" customHeight="1" x14ac:dyDescent="0.25"/>
    <row r="715" ht="16.5" customHeight="1" x14ac:dyDescent="0.25"/>
    <row r="716" ht="16.5" customHeight="1" x14ac:dyDescent="0.25"/>
    <row r="717" ht="16.5" customHeight="1" x14ac:dyDescent="0.25"/>
    <row r="718" ht="16.5" customHeight="1" x14ac:dyDescent="0.25"/>
    <row r="719" ht="16.5" customHeight="1" x14ac:dyDescent="0.25"/>
    <row r="720" ht="16.5" customHeight="1" x14ac:dyDescent="0.25"/>
    <row r="721" ht="16.5" customHeight="1" x14ac:dyDescent="0.25"/>
    <row r="722" ht="16.5" customHeight="1" x14ac:dyDescent="0.25"/>
    <row r="723" ht="16.5" customHeight="1" x14ac:dyDescent="0.25"/>
    <row r="724" ht="16.5" customHeight="1" x14ac:dyDescent="0.25"/>
    <row r="725" ht="16.5" customHeight="1" x14ac:dyDescent="0.25"/>
    <row r="726" ht="16.5" customHeight="1" x14ac:dyDescent="0.25"/>
    <row r="727" ht="16.5" customHeight="1" x14ac:dyDescent="0.25"/>
    <row r="728" ht="16.5" customHeight="1" x14ac:dyDescent="0.25"/>
    <row r="729" ht="16.5" customHeight="1" x14ac:dyDescent="0.25"/>
    <row r="730" ht="16.5" customHeight="1" x14ac:dyDescent="0.25"/>
    <row r="731" ht="16.5" customHeight="1" x14ac:dyDescent="0.25"/>
    <row r="732" ht="16.5" customHeight="1" x14ac:dyDescent="0.25"/>
    <row r="733" ht="16.5" customHeight="1" x14ac:dyDescent="0.25"/>
    <row r="734" ht="16.5" customHeight="1" x14ac:dyDescent="0.25"/>
    <row r="735" ht="16.5" customHeight="1" x14ac:dyDescent="0.25"/>
    <row r="736" ht="16.5" customHeight="1" x14ac:dyDescent="0.25"/>
    <row r="737" ht="16.5" customHeight="1" x14ac:dyDescent="0.25"/>
    <row r="738" ht="16.5" customHeight="1" x14ac:dyDescent="0.25"/>
    <row r="739" ht="16.5" customHeight="1" x14ac:dyDescent="0.25"/>
    <row r="740" ht="16.5" customHeight="1" x14ac:dyDescent="0.25"/>
    <row r="741" ht="16.5" customHeight="1" x14ac:dyDescent="0.25"/>
    <row r="742" ht="16.5" customHeight="1" x14ac:dyDescent="0.25"/>
    <row r="743" ht="16.5" customHeight="1" x14ac:dyDescent="0.25"/>
    <row r="744" ht="16.5" customHeight="1" x14ac:dyDescent="0.25"/>
    <row r="745" ht="16.5" customHeight="1" x14ac:dyDescent="0.25"/>
    <row r="746" ht="16.5" customHeight="1" x14ac:dyDescent="0.25"/>
    <row r="747" ht="16.5" customHeight="1" x14ac:dyDescent="0.25"/>
    <row r="748" ht="16.5" customHeight="1" x14ac:dyDescent="0.25"/>
    <row r="749" ht="16.5" customHeight="1" x14ac:dyDescent="0.25"/>
    <row r="750" ht="16.5" customHeight="1" x14ac:dyDescent="0.25"/>
    <row r="751" ht="16.5" customHeight="1" x14ac:dyDescent="0.25"/>
    <row r="752" ht="16.5" customHeight="1" x14ac:dyDescent="0.25"/>
    <row r="753" ht="16.5" customHeight="1" x14ac:dyDescent="0.25"/>
    <row r="754" ht="16.5" customHeight="1" x14ac:dyDescent="0.25"/>
    <row r="755" ht="16.5" customHeight="1" x14ac:dyDescent="0.25"/>
    <row r="756" ht="16.5" customHeight="1" x14ac:dyDescent="0.25"/>
    <row r="757" ht="16.5" customHeight="1" x14ac:dyDescent="0.25"/>
    <row r="758" ht="16.5" customHeight="1" x14ac:dyDescent="0.25"/>
    <row r="759" ht="16.5" customHeight="1" x14ac:dyDescent="0.25"/>
    <row r="760" ht="16.5" customHeight="1" x14ac:dyDescent="0.25"/>
    <row r="761" ht="16.5" customHeight="1" x14ac:dyDescent="0.25"/>
    <row r="762" ht="16.5" customHeight="1" x14ac:dyDescent="0.25"/>
    <row r="763" ht="16.5" customHeight="1" x14ac:dyDescent="0.25"/>
    <row r="764" ht="16.5" customHeight="1" x14ac:dyDescent="0.25"/>
    <row r="765" ht="16.5" customHeight="1" x14ac:dyDescent="0.25"/>
    <row r="766" ht="16.5" customHeight="1" x14ac:dyDescent="0.25"/>
    <row r="767" ht="16.5" customHeight="1" x14ac:dyDescent="0.25"/>
    <row r="768" ht="16.5" customHeight="1" x14ac:dyDescent="0.25"/>
    <row r="769" ht="16.5" customHeight="1" x14ac:dyDescent="0.25"/>
    <row r="770" ht="16.5" customHeight="1" x14ac:dyDescent="0.25"/>
    <row r="771" ht="16.5" customHeight="1" x14ac:dyDescent="0.25"/>
    <row r="772" ht="16.5" customHeight="1" x14ac:dyDescent="0.25"/>
    <row r="773" ht="16.5" customHeight="1" x14ac:dyDescent="0.25"/>
    <row r="774" ht="16.5" customHeight="1" x14ac:dyDescent="0.25"/>
    <row r="775" ht="16.5" customHeight="1" x14ac:dyDescent="0.25"/>
    <row r="776" ht="16.5" customHeight="1" x14ac:dyDescent="0.25"/>
    <row r="777" ht="16.5" customHeight="1" x14ac:dyDescent="0.25"/>
    <row r="778" ht="16.5" customHeight="1" x14ac:dyDescent="0.25"/>
    <row r="779" ht="16.5" customHeight="1" x14ac:dyDescent="0.25"/>
    <row r="780" ht="16.5" customHeight="1" x14ac:dyDescent="0.25"/>
    <row r="781" ht="16.5" customHeight="1" x14ac:dyDescent="0.25"/>
    <row r="782" ht="16.5" customHeight="1" x14ac:dyDescent="0.25"/>
    <row r="783" ht="16.5" customHeight="1" x14ac:dyDescent="0.25"/>
    <row r="784" ht="16.5" customHeight="1" x14ac:dyDescent="0.25"/>
    <row r="785" ht="16.5" customHeight="1" x14ac:dyDescent="0.25"/>
    <row r="786" ht="16.5" customHeight="1" x14ac:dyDescent="0.25"/>
    <row r="787" ht="16.5" customHeight="1" x14ac:dyDescent="0.25"/>
    <row r="788" ht="16.5" customHeight="1" x14ac:dyDescent="0.25"/>
    <row r="789" ht="16.5" customHeight="1" x14ac:dyDescent="0.25"/>
    <row r="790" ht="16.5" customHeight="1" x14ac:dyDescent="0.25"/>
    <row r="791" ht="16.5" customHeight="1" x14ac:dyDescent="0.25"/>
    <row r="792" ht="16.5" customHeight="1" x14ac:dyDescent="0.25"/>
    <row r="793" ht="16.5" customHeight="1" x14ac:dyDescent="0.25"/>
    <row r="794" ht="16.5" customHeight="1" x14ac:dyDescent="0.25"/>
    <row r="795" ht="16.5" customHeight="1" x14ac:dyDescent="0.25"/>
    <row r="796" ht="16.5" customHeight="1" x14ac:dyDescent="0.25"/>
    <row r="797" ht="16.5" customHeight="1" x14ac:dyDescent="0.25"/>
    <row r="798" ht="16.5" customHeight="1" x14ac:dyDescent="0.25"/>
    <row r="799" ht="16.5" customHeight="1" x14ac:dyDescent="0.25"/>
    <row r="800" ht="16.5" customHeight="1" x14ac:dyDescent="0.25"/>
    <row r="801" ht="16.5" customHeight="1" x14ac:dyDescent="0.25"/>
    <row r="802" ht="16.5" customHeight="1" x14ac:dyDescent="0.25"/>
    <row r="803" ht="16.5" customHeight="1" x14ac:dyDescent="0.25"/>
    <row r="804" ht="16.5" customHeight="1" x14ac:dyDescent="0.25"/>
    <row r="805" ht="16.5" customHeight="1" x14ac:dyDescent="0.25"/>
    <row r="806" ht="16.5" customHeight="1" x14ac:dyDescent="0.25"/>
    <row r="807" ht="16.5" customHeight="1" x14ac:dyDescent="0.25"/>
    <row r="808" ht="16.5" customHeight="1" x14ac:dyDescent="0.25"/>
    <row r="809" ht="16.5" customHeight="1" x14ac:dyDescent="0.25"/>
    <row r="810" ht="16.5" customHeight="1" x14ac:dyDescent="0.25"/>
    <row r="811" ht="16.5" customHeight="1" x14ac:dyDescent="0.25"/>
    <row r="812" ht="16.5" customHeight="1" x14ac:dyDescent="0.25"/>
    <row r="813" ht="16.5" customHeight="1" x14ac:dyDescent="0.25"/>
    <row r="814" ht="16.5" customHeight="1" x14ac:dyDescent="0.25"/>
    <row r="815" ht="16.5" customHeight="1" x14ac:dyDescent="0.25"/>
    <row r="816" ht="16.5" customHeight="1" x14ac:dyDescent="0.25"/>
    <row r="817" ht="16.5" customHeight="1" x14ac:dyDescent="0.25"/>
    <row r="818" ht="16.5" customHeight="1" x14ac:dyDescent="0.25"/>
    <row r="819" ht="16.5" customHeight="1" x14ac:dyDescent="0.25"/>
    <row r="820" ht="16.5" customHeight="1" x14ac:dyDescent="0.25"/>
    <row r="821" ht="16.5" customHeight="1" x14ac:dyDescent="0.25"/>
    <row r="822" ht="16.5" customHeight="1" x14ac:dyDescent="0.25"/>
    <row r="823" ht="16.5" customHeight="1" x14ac:dyDescent="0.25"/>
    <row r="824" ht="16.5" customHeight="1" x14ac:dyDescent="0.25"/>
    <row r="825" ht="16.5" customHeight="1" x14ac:dyDescent="0.25"/>
    <row r="826" ht="16.5" customHeight="1" x14ac:dyDescent="0.25"/>
    <row r="827" ht="16.5" customHeight="1" x14ac:dyDescent="0.25"/>
    <row r="828" ht="16.5" customHeight="1" x14ac:dyDescent="0.25"/>
    <row r="829" ht="16.5" customHeight="1" x14ac:dyDescent="0.25"/>
    <row r="830" ht="16.5" customHeight="1" x14ac:dyDescent="0.25"/>
    <row r="831" ht="16.5" customHeight="1" x14ac:dyDescent="0.25"/>
    <row r="832" ht="16.5" customHeight="1" x14ac:dyDescent="0.25"/>
    <row r="833" ht="16.5" customHeight="1" x14ac:dyDescent="0.25"/>
    <row r="834" ht="16.5" customHeight="1" x14ac:dyDescent="0.25"/>
    <row r="835" ht="16.5" customHeight="1" x14ac:dyDescent="0.25"/>
    <row r="836" ht="16.5" customHeight="1" x14ac:dyDescent="0.25"/>
    <row r="837" ht="16.5" customHeight="1" x14ac:dyDescent="0.25"/>
    <row r="838" ht="16.5" customHeight="1" x14ac:dyDescent="0.25"/>
    <row r="839" ht="16.5" customHeight="1" x14ac:dyDescent="0.25"/>
    <row r="840" ht="16.5" customHeight="1" x14ac:dyDescent="0.25"/>
    <row r="841" ht="16.5" customHeight="1" x14ac:dyDescent="0.25"/>
    <row r="842" ht="16.5" customHeight="1" x14ac:dyDescent="0.25"/>
    <row r="843" ht="16.5" customHeight="1" x14ac:dyDescent="0.25"/>
    <row r="844" ht="16.5" customHeight="1" x14ac:dyDescent="0.25"/>
    <row r="845" ht="16.5" customHeight="1" x14ac:dyDescent="0.25"/>
    <row r="846" ht="16.5" customHeight="1" x14ac:dyDescent="0.25"/>
    <row r="847" ht="16.5" customHeight="1" x14ac:dyDescent="0.25"/>
    <row r="848" ht="16.5" customHeight="1" x14ac:dyDescent="0.25"/>
    <row r="849" ht="16.5" customHeight="1" x14ac:dyDescent="0.25"/>
    <row r="850" ht="16.5" customHeight="1" x14ac:dyDescent="0.25"/>
    <row r="851" ht="16.5" customHeight="1" x14ac:dyDescent="0.25"/>
    <row r="852" ht="16.5" customHeight="1" x14ac:dyDescent="0.25"/>
    <row r="853" ht="16.5" customHeight="1" x14ac:dyDescent="0.25"/>
    <row r="854" ht="16.5" customHeight="1" x14ac:dyDescent="0.25"/>
    <row r="855" ht="16.5" customHeight="1" x14ac:dyDescent="0.25"/>
    <row r="856" ht="16.5" customHeight="1" x14ac:dyDescent="0.25"/>
    <row r="857" ht="16.5" customHeight="1" x14ac:dyDescent="0.25"/>
    <row r="858" ht="16.5" customHeight="1" x14ac:dyDescent="0.25"/>
    <row r="859" ht="16.5" customHeight="1" x14ac:dyDescent="0.25"/>
    <row r="860" ht="16.5" customHeight="1" x14ac:dyDescent="0.25"/>
    <row r="861" ht="16.5" customHeight="1" x14ac:dyDescent="0.25"/>
    <row r="862" ht="16.5" customHeight="1" x14ac:dyDescent="0.25"/>
    <row r="863" ht="16.5" customHeight="1" x14ac:dyDescent="0.25"/>
    <row r="864" ht="16.5" customHeight="1" x14ac:dyDescent="0.25"/>
    <row r="865" ht="16.5" customHeight="1" x14ac:dyDescent="0.25"/>
    <row r="866" ht="16.5" customHeight="1" x14ac:dyDescent="0.25"/>
    <row r="867" ht="16.5" customHeight="1" x14ac:dyDescent="0.25"/>
    <row r="868" ht="16.5" customHeight="1" x14ac:dyDescent="0.25"/>
    <row r="869" ht="16.5" customHeight="1" x14ac:dyDescent="0.25"/>
    <row r="870" ht="16.5" customHeight="1" x14ac:dyDescent="0.25"/>
    <row r="871" ht="16.5" customHeight="1" x14ac:dyDescent="0.25"/>
    <row r="872" ht="16.5" customHeight="1" x14ac:dyDescent="0.25"/>
    <row r="873" ht="16.5" customHeight="1" x14ac:dyDescent="0.25"/>
    <row r="874" ht="16.5" customHeight="1" x14ac:dyDescent="0.25"/>
    <row r="875" ht="16.5" customHeight="1" x14ac:dyDescent="0.25"/>
    <row r="876" ht="16.5" customHeight="1" x14ac:dyDescent="0.25"/>
    <row r="877" ht="16.5" customHeight="1" x14ac:dyDescent="0.25"/>
    <row r="878" ht="16.5" customHeight="1" x14ac:dyDescent="0.25"/>
    <row r="879" ht="16.5" customHeight="1" x14ac:dyDescent="0.25"/>
    <row r="880" ht="16.5" customHeight="1" x14ac:dyDescent="0.25"/>
    <row r="881" ht="16.5" customHeight="1" x14ac:dyDescent="0.25"/>
    <row r="882" ht="16.5" customHeight="1" x14ac:dyDescent="0.25"/>
    <row r="883" ht="16.5" customHeight="1" x14ac:dyDescent="0.25"/>
    <row r="884" ht="16.5" customHeight="1" x14ac:dyDescent="0.25"/>
    <row r="885" ht="16.5" customHeight="1" x14ac:dyDescent="0.25"/>
    <row r="886" ht="16.5" customHeight="1" x14ac:dyDescent="0.25"/>
    <row r="887" ht="16.5" customHeight="1" x14ac:dyDescent="0.25"/>
    <row r="888" ht="16.5" customHeight="1" x14ac:dyDescent="0.25"/>
    <row r="889" ht="16.5" customHeight="1" x14ac:dyDescent="0.25"/>
    <row r="890" ht="16.5" customHeight="1" x14ac:dyDescent="0.25"/>
    <row r="891" ht="16.5" customHeight="1" x14ac:dyDescent="0.25"/>
    <row r="892" ht="16.5" customHeight="1" x14ac:dyDescent="0.25"/>
    <row r="893" ht="16.5" customHeight="1" x14ac:dyDescent="0.25"/>
    <row r="894" ht="16.5" customHeight="1" x14ac:dyDescent="0.25"/>
    <row r="895" ht="16.5" customHeight="1" x14ac:dyDescent="0.25"/>
    <row r="896" ht="16.5" customHeight="1" x14ac:dyDescent="0.25"/>
    <row r="897" ht="16.5" customHeight="1" x14ac:dyDescent="0.25"/>
    <row r="898" ht="16.5" customHeight="1" x14ac:dyDescent="0.25"/>
    <row r="899" ht="16.5" customHeight="1" x14ac:dyDescent="0.25"/>
    <row r="900" ht="16.5" customHeight="1" x14ac:dyDescent="0.25"/>
    <row r="901" ht="16.5" customHeight="1" x14ac:dyDescent="0.25"/>
    <row r="902" ht="16.5" customHeight="1" x14ac:dyDescent="0.25"/>
    <row r="903" ht="16.5" customHeight="1" x14ac:dyDescent="0.25"/>
    <row r="904" ht="16.5" customHeight="1" x14ac:dyDescent="0.25"/>
    <row r="905" ht="16.5" customHeight="1" x14ac:dyDescent="0.25"/>
    <row r="906" ht="16.5" customHeight="1" x14ac:dyDescent="0.25"/>
    <row r="907" ht="16.5" customHeight="1" x14ac:dyDescent="0.25"/>
    <row r="908" ht="16.5" customHeight="1" x14ac:dyDescent="0.25"/>
    <row r="909" ht="16.5" customHeight="1" x14ac:dyDescent="0.25"/>
    <row r="910" ht="16.5" customHeight="1" x14ac:dyDescent="0.25"/>
    <row r="911" ht="16.5" customHeight="1" x14ac:dyDescent="0.25"/>
    <row r="912" ht="16.5" customHeight="1" x14ac:dyDescent="0.25"/>
    <row r="913" ht="16.5" customHeight="1" x14ac:dyDescent="0.25"/>
    <row r="914" ht="16.5" customHeight="1" x14ac:dyDescent="0.25"/>
    <row r="915" ht="16.5" customHeight="1" x14ac:dyDescent="0.25"/>
    <row r="916" ht="16.5" customHeight="1" x14ac:dyDescent="0.25"/>
    <row r="917" ht="16.5" customHeight="1" x14ac:dyDescent="0.25"/>
    <row r="918" ht="16.5" customHeight="1" x14ac:dyDescent="0.25"/>
    <row r="919" ht="16.5" customHeight="1" x14ac:dyDescent="0.25"/>
    <row r="920" ht="16.5" customHeight="1" x14ac:dyDescent="0.25"/>
    <row r="921" ht="16.5" customHeight="1" x14ac:dyDescent="0.25"/>
    <row r="922" ht="16.5" customHeight="1" x14ac:dyDescent="0.25"/>
    <row r="923" ht="16.5" customHeight="1" x14ac:dyDescent="0.25"/>
    <row r="924" ht="16.5" customHeight="1" x14ac:dyDescent="0.25"/>
    <row r="925" ht="16.5" customHeight="1" x14ac:dyDescent="0.25"/>
    <row r="926" ht="16.5" customHeight="1" x14ac:dyDescent="0.25"/>
    <row r="927" ht="16.5" customHeight="1" x14ac:dyDescent="0.25"/>
    <row r="928" ht="16.5" customHeight="1" x14ac:dyDescent="0.25"/>
    <row r="929" ht="16.5" customHeight="1" x14ac:dyDescent="0.25"/>
    <row r="930" ht="16.5" customHeight="1" x14ac:dyDescent="0.25"/>
    <row r="931" ht="16.5" customHeight="1" x14ac:dyDescent="0.25"/>
    <row r="932" ht="16.5" customHeight="1" x14ac:dyDescent="0.25"/>
    <row r="933" ht="16.5" customHeight="1" x14ac:dyDescent="0.25"/>
    <row r="934" ht="16.5" customHeight="1" x14ac:dyDescent="0.25"/>
    <row r="935" ht="16.5" customHeight="1" x14ac:dyDescent="0.25"/>
    <row r="936" ht="16.5" customHeight="1" x14ac:dyDescent="0.25"/>
    <row r="937" ht="16.5" customHeight="1" x14ac:dyDescent="0.25"/>
    <row r="938" ht="16.5" customHeight="1" x14ac:dyDescent="0.25"/>
    <row r="939" ht="16.5" customHeight="1" x14ac:dyDescent="0.25"/>
    <row r="940" ht="16.5" customHeight="1" x14ac:dyDescent="0.25"/>
    <row r="941" ht="16.5" customHeight="1" x14ac:dyDescent="0.25"/>
    <row r="942" ht="16.5" customHeight="1" x14ac:dyDescent="0.25"/>
    <row r="943" ht="16.5" customHeight="1" x14ac:dyDescent="0.25"/>
    <row r="944" ht="16.5" customHeight="1" x14ac:dyDescent="0.25"/>
    <row r="945" ht="16.5" customHeight="1" x14ac:dyDescent="0.25"/>
    <row r="946" ht="16.5" customHeight="1" x14ac:dyDescent="0.25"/>
    <row r="947" ht="16.5" customHeight="1" x14ac:dyDescent="0.25"/>
    <row r="948" ht="16.5" customHeight="1" x14ac:dyDescent="0.25"/>
    <row r="949" ht="16.5" customHeight="1" x14ac:dyDescent="0.25"/>
    <row r="950" ht="16.5" customHeight="1" x14ac:dyDescent="0.25"/>
    <row r="951" ht="16.5" customHeight="1" x14ac:dyDescent="0.25"/>
    <row r="952" ht="16.5" customHeight="1" x14ac:dyDescent="0.25"/>
    <row r="953" ht="16.5" customHeight="1" x14ac:dyDescent="0.25"/>
    <row r="954" ht="16.5" customHeight="1" x14ac:dyDescent="0.25"/>
    <row r="955" ht="16.5" customHeight="1" x14ac:dyDescent="0.25"/>
    <row r="956" ht="16.5" customHeight="1" x14ac:dyDescent="0.25"/>
    <row r="957" ht="16.5" customHeight="1" x14ac:dyDescent="0.25"/>
    <row r="958" ht="16.5" customHeight="1" x14ac:dyDescent="0.25"/>
    <row r="959" ht="16.5" customHeight="1" x14ac:dyDescent="0.25"/>
    <row r="960" ht="16.5" customHeight="1" x14ac:dyDescent="0.25"/>
    <row r="961" ht="16.5" customHeight="1" x14ac:dyDescent="0.25"/>
    <row r="962" ht="16.5" customHeight="1" x14ac:dyDescent="0.25"/>
    <row r="963" ht="16.5" customHeight="1" x14ac:dyDescent="0.25"/>
    <row r="964" ht="16.5" customHeight="1" x14ac:dyDescent="0.25"/>
    <row r="965" ht="16.5" customHeight="1" x14ac:dyDescent="0.25"/>
    <row r="966" ht="16.5" customHeight="1" x14ac:dyDescent="0.25"/>
    <row r="967" ht="16.5" customHeight="1" x14ac:dyDescent="0.25"/>
    <row r="968" ht="16.5" customHeight="1" x14ac:dyDescent="0.25"/>
    <row r="969" ht="16.5" customHeight="1" x14ac:dyDescent="0.25"/>
    <row r="970" ht="16.5" customHeight="1" x14ac:dyDescent="0.25"/>
    <row r="971" ht="16.5" customHeight="1" x14ac:dyDescent="0.25"/>
    <row r="972" ht="16.5" customHeight="1" x14ac:dyDescent="0.25"/>
    <row r="973" ht="16.5" customHeight="1" x14ac:dyDescent="0.25"/>
    <row r="974" ht="16.5" customHeight="1" x14ac:dyDescent="0.25"/>
    <row r="975" ht="16.5" customHeight="1" x14ac:dyDescent="0.25"/>
    <row r="976" ht="16.5" customHeight="1" x14ac:dyDescent="0.25"/>
    <row r="977" ht="16.5" customHeight="1" x14ac:dyDescent="0.25"/>
    <row r="978" ht="16.5" customHeight="1" x14ac:dyDescent="0.25"/>
    <row r="979" ht="16.5" customHeight="1" x14ac:dyDescent="0.25"/>
    <row r="980" ht="16.5" customHeight="1" x14ac:dyDescent="0.25"/>
    <row r="981" ht="16.5" customHeight="1" x14ac:dyDescent="0.25"/>
    <row r="982" ht="16.5" customHeight="1" x14ac:dyDescent="0.25"/>
    <row r="983" ht="16.5" customHeight="1" x14ac:dyDescent="0.25"/>
    <row r="984" ht="16.5" customHeight="1" x14ac:dyDescent="0.25"/>
    <row r="985" ht="16.5" customHeight="1" x14ac:dyDescent="0.25"/>
    <row r="986" ht="16.5" customHeight="1" x14ac:dyDescent="0.25"/>
    <row r="987" ht="16.5" customHeight="1" x14ac:dyDescent="0.25"/>
    <row r="988" ht="16.5" customHeight="1" x14ac:dyDescent="0.25"/>
    <row r="989" ht="16.5" customHeight="1" x14ac:dyDescent="0.25"/>
    <row r="990" ht="16.5" customHeight="1" x14ac:dyDescent="0.25"/>
    <row r="991" ht="16.5" customHeight="1" x14ac:dyDescent="0.25"/>
    <row r="992" ht="16.5" customHeight="1" x14ac:dyDescent="0.25"/>
    <row r="993" ht="16.5" customHeight="1" x14ac:dyDescent="0.25"/>
    <row r="994" ht="16.5" customHeight="1" x14ac:dyDescent="0.25"/>
    <row r="995" ht="16.5" customHeight="1" x14ac:dyDescent="0.25"/>
    <row r="996" ht="16.5" customHeight="1" x14ac:dyDescent="0.25"/>
    <row r="997" ht="16.5" customHeight="1" x14ac:dyDescent="0.25"/>
    <row r="998" ht="16.5" customHeight="1" x14ac:dyDescent="0.25"/>
    <row r="999" ht="16.5" customHeight="1" x14ac:dyDescent="0.25"/>
    <row r="1000" ht="16.5" customHeight="1" x14ac:dyDescent="0.25"/>
    <row r="1001" ht="16.5" customHeight="1" x14ac:dyDescent="0.25"/>
    <row r="1002" ht="16.5" customHeight="1" x14ac:dyDescent="0.25"/>
    <row r="1003" ht="16.5" customHeight="1" x14ac:dyDescent="0.25"/>
    <row r="1004" ht="16.5" customHeight="1" x14ac:dyDescent="0.25"/>
    <row r="1005" ht="16.5" customHeight="1" x14ac:dyDescent="0.25"/>
    <row r="1006" ht="16.5" customHeight="1" x14ac:dyDescent="0.25"/>
    <row r="1007" ht="16.5" customHeight="1" x14ac:dyDescent="0.25"/>
    <row r="1008" ht="16.5" customHeight="1" x14ac:dyDescent="0.25"/>
    <row r="1009" ht="16.5" customHeight="1" x14ac:dyDescent="0.25"/>
    <row r="1010" ht="16.5" customHeight="1" x14ac:dyDescent="0.25"/>
    <row r="1011" ht="16.5" customHeight="1" x14ac:dyDescent="0.25"/>
    <row r="1012" ht="16.5" customHeight="1" x14ac:dyDescent="0.25"/>
    <row r="1013" ht="16.5" customHeight="1" x14ac:dyDescent="0.25"/>
    <row r="1014" ht="16.5" customHeight="1" x14ac:dyDescent="0.25"/>
    <row r="1015" ht="16.5" customHeight="1" x14ac:dyDescent="0.25"/>
    <row r="1016" ht="16.5" customHeight="1" x14ac:dyDescent="0.25"/>
    <row r="1017" ht="16.5" customHeight="1" x14ac:dyDescent="0.25"/>
    <row r="1018" ht="16.5" customHeight="1" x14ac:dyDescent="0.25"/>
    <row r="1019" ht="16.5" customHeight="1" x14ac:dyDescent="0.25"/>
    <row r="1020" ht="16.5" customHeight="1" x14ac:dyDescent="0.25"/>
  </sheetData>
  <mergeCells count="54">
    <mergeCell ref="B2:K2"/>
    <mergeCell ref="B3:K3"/>
    <mergeCell ref="B4:K4"/>
    <mergeCell ref="B5:K6"/>
    <mergeCell ref="I7:J7"/>
    <mergeCell ref="B10:C10"/>
    <mergeCell ref="B13:J13"/>
    <mergeCell ref="M20:Q23"/>
    <mergeCell ref="C22:F22"/>
    <mergeCell ref="G22:H22"/>
    <mergeCell ref="C23:F23"/>
    <mergeCell ref="G23:H23"/>
    <mergeCell ref="C24:F24"/>
    <mergeCell ref="G24:H24"/>
    <mergeCell ref="C25:F25"/>
    <mergeCell ref="G25:H25"/>
    <mergeCell ref="C26:F26"/>
    <mergeCell ref="G26:H26"/>
    <mergeCell ref="C27:F27"/>
    <mergeCell ref="G27:H27"/>
    <mergeCell ref="C28:F28"/>
    <mergeCell ref="G28:H28"/>
    <mergeCell ref="C30:F30"/>
    <mergeCell ref="G30:H30"/>
    <mergeCell ref="C31:F31"/>
    <mergeCell ref="G31:H31"/>
    <mergeCell ref="C32:F32"/>
    <mergeCell ref="G32:H32"/>
    <mergeCell ref="C33:F33"/>
    <mergeCell ref="G33:H33"/>
    <mergeCell ref="C34:F34"/>
    <mergeCell ref="G34:H34"/>
    <mergeCell ref="C35:F35"/>
    <mergeCell ref="G35:H35"/>
    <mergeCell ref="C36:F36"/>
    <mergeCell ref="G36:H36"/>
    <mergeCell ref="C37:F37"/>
    <mergeCell ref="G37:H37"/>
    <mergeCell ref="C38:F38"/>
    <mergeCell ref="G38:H38"/>
    <mergeCell ref="C39:F39"/>
    <mergeCell ref="G39:H39"/>
    <mergeCell ref="C40:F40"/>
    <mergeCell ref="G40:H40"/>
    <mergeCell ref="C41:F41"/>
    <mergeCell ref="G41:H41"/>
    <mergeCell ref="C42:F42"/>
    <mergeCell ref="G42:H42"/>
    <mergeCell ref="C43:F43"/>
    <mergeCell ref="G43:H43"/>
    <mergeCell ref="F58:G58"/>
    <mergeCell ref="D64:J64"/>
    <mergeCell ref="D65:J65"/>
    <mergeCell ref="D71:G71"/>
  </mergeCells>
  <printOptions horizontalCentered="1"/>
  <pageMargins left="0.49251968503937005" right="0.25" top="0.5454767701255973" bottom="0.25439127801332534" header="0" footer="0"/>
  <pageSetup paperSize="9" orientation="portrait" horizontalDpi="4294967295" verticalDpi="4294967295" scale="100" fitToWidth="1" fitToHeight="1" firstPageNumber="1" useFirstPageNumber="1" copies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87"/>
  <sheetViews>
    <sheetView workbookViewId="0" zoomScale="100" zoomScaleNormal="100"/>
  </sheetViews>
  <sheetFormatPr defaultRowHeight="15" outlineLevelRow="0" outlineLevelCol="0" x14ac:dyDescent="0" defaultColWidth="14.43"/>
  <cols>
    <col min="1" max="1" width="23.57" customWidth="1"/>
    <col min="2" max="2" width="35" customWidth="1"/>
    <col min="3" max="3" width="76" customWidth="1"/>
  </cols>
  <sheetData>
    <row r="1" ht="61.5" customHeight="1" spans="1:3" x14ac:dyDescent="0.25">
      <c r="A1" s="56" t="s">
        <v>39</v>
      </c>
      <c r="B1" s="57" t="s">
        <v>40</v>
      </c>
      <c r="C1" s="58" t="s">
        <v>41</v>
      </c>
    </row>
    <row r="2" ht="61.5" customHeight="1" spans="1:3" x14ac:dyDescent="0.25">
      <c r="A2" s="59" t="s">
        <v>42</v>
      </c>
      <c r="B2" s="60"/>
      <c r="C2" s="61"/>
    </row>
    <row r="3" spans="1:3" x14ac:dyDescent="0.25">
      <c r="A3" s="62" t="s">
        <v>43</v>
      </c>
      <c r="B3" s="63" t="s">
        <v>44</v>
      </c>
      <c r="C3" s="64" t="s">
        <v>45</v>
      </c>
    </row>
    <row r="4" spans="1:3" x14ac:dyDescent="0.25">
      <c r="A4" s="65" t="s">
        <v>44</v>
      </c>
      <c r="B4" s="66" t="s">
        <v>44</v>
      </c>
      <c r="C4" s="67" t="s">
        <v>45</v>
      </c>
    </row>
    <row r="5" spans="1:3" x14ac:dyDescent="0.25">
      <c r="A5" s="65" t="s">
        <v>46</v>
      </c>
      <c r="B5" s="66" t="s">
        <v>44</v>
      </c>
      <c r="C5" s="67" t="s">
        <v>45</v>
      </c>
    </row>
    <row r="6" spans="1:3" x14ac:dyDescent="0.25">
      <c r="A6" s="68" t="s">
        <v>47</v>
      </c>
      <c r="B6" s="69" t="s">
        <v>48</v>
      </c>
      <c r="C6" s="70" t="s">
        <v>49</v>
      </c>
    </row>
    <row r="7" spans="1:3" x14ac:dyDescent="0.25">
      <c r="A7" s="65" t="s">
        <v>48</v>
      </c>
      <c r="B7" s="66" t="s">
        <v>48</v>
      </c>
      <c r="C7" s="67" t="s">
        <v>49</v>
      </c>
    </row>
    <row r="8" spans="1:3" x14ac:dyDescent="0.25">
      <c r="A8" s="71" t="s">
        <v>50</v>
      </c>
      <c r="B8" s="69" t="s">
        <v>51</v>
      </c>
      <c r="C8" s="70" t="s">
        <v>52</v>
      </c>
    </row>
    <row r="9" spans="1:3" x14ac:dyDescent="0.25">
      <c r="A9" s="65" t="s">
        <v>51</v>
      </c>
      <c r="B9" s="66" t="s">
        <v>51</v>
      </c>
      <c r="C9" s="67" t="s">
        <v>52</v>
      </c>
    </row>
    <row r="10" spans="1:3" x14ac:dyDescent="0.25">
      <c r="A10" s="65" t="s">
        <v>53</v>
      </c>
      <c r="B10" s="66" t="s">
        <v>51</v>
      </c>
      <c r="C10" s="67" t="s">
        <v>52</v>
      </c>
    </row>
    <row r="11" spans="1:3" x14ac:dyDescent="0.25">
      <c r="A11" s="65" t="s">
        <v>54</v>
      </c>
      <c r="B11" s="66" t="s">
        <v>51</v>
      </c>
      <c r="C11" s="67" t="s">
        <v>52</v>
      </c>
    </row>
    <row r="12" spans="1:3" x14ac:dyDescent="0.25">
      <c r="A12" s="71" t="s">
        <v>55</v>
      </c>
      <c r="B12" s="69" t="s">
        <v>56</v>
      </c>
      <c r="C12" s="70" t="s">
        <v>57</v>
      </c>
    </row>
    <row r="13" spans="1:3" x14ac:dyDescent="0.25">
      <c r="A13" s="65" t="s">
        <v>56</v>
      </c>
      <c r="B13" s="66" t="s">
        <v>56</v>
      </c>
      <c r="C13" s="67" t="s">
        <v>57</v>
      </c>
    </row>
    <row r="14" spans="1:3" x14ac:dyDescent="0.25">
      <c r="A14" s="65" t="s">
        <v>58</v>
      </c>
      <c r="B14" s="66" t="s">
        <v>56</v>
      </c>
      <c r="C14" s="67" t="s">
        <v>57</v>
      </c>
    </row>
    <row r="15" spans="1:26" x14ac:dyDescent="0.25">
      <c r="A15" s="65" t="s">
        <v>59</v>
      </c>
      <c r="B15" s="66" t="s">
        <v>56</v>
      </c>
      <c r="C15" s="67" t="s">
        <v>57</v>
      </c>
      <c r="D15" s="72"/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spans="1:26" x14ac:dyDescent="0.25">
      <c r="A16" s="71" t="s">
        <v>60</v>
      </c>
      <c r="B16" s="69" t="s">
        <v>61</v>
      </c>
      <c r="C16" s="70" t="s">
        <v>62</v>
      </c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spans="1:26" x14ac:dyDescent="0.25">
      <c r="A17" s="65" t="s">
        <v>61</v>
      </c>
      <c r="B17" s="66" t="s">
        <v>61</v>
      </c>
      <c r="C17" s="67" t="s">
        <v>62</v>
      </c>
      <c r="D17" s="72"/>
      <c r="E17" s="72"/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spans="1:26" x14ac:dyDescent="0.25">
      <c r="A18" s="65" t="s">
        <v>63</v>
      </c>
      <c r="B18" s="66" t="s">
        <v>61</v>
      </c>
      <c r="C18" s="67" t="s">
        <v>62</v>
      </c>
      <c r="D18" s="72"/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spans="1:26" x14ac:dyDescent="0.25">
      <c r="A19" s="65" t="s">
        <v>64</v>
      </c>
      <c r="B19" s="66" t="s">
        <v>61</v>
      </c>
      <c r="C19" s="67" t="s">
        <v>62</v>
      </c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spans="1:26" x14ac:dyDescent="0.25">
      <c r="A20" s="71" t="s">
        <v>65</v>
      </c>
      <c r="B20" s="69" t="s">
        <v>66</v>
      </c>
      <c r="C20" s="70" t="s">
        <v>67</v>
      </c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spans="1:26" x14ac:dyDescent="0.25">
      <c r="A21" s="65" t="s">
        <v>66</v>
      </c>
      <c r="B21" s="66" t="s">
        <v>66</v>
      </c>
      <c r="C21" s="67" t="s">
        <v>67</v>
      </c>
      <c r="D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spans="1:26" x14ac:dyDescent="0.25">
      <c r="A22" s="65" t="s">
        <v>68</v>
      </c>
      <c r="B22" s="66" t="s">
        <v>66</v>
      </c>
      <c r="C22" s="67" t="s">
        <v>67</v>
      </c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spans="1:26" x14ac:dyDescent="0.25">
      <c r="A23" s="71" t="s">
        <v>69</v>
      </c>
      <c r="B23" s="69" t="s">
        <v>70</v>
      </c>
      <c r="C23" s="70" t="s">
        <v>71</v>
      </c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spans="1:26" x14ac:dyDescent="0.25">
      <c r="A24" s="65" t="s">
        <v>70</v>
      </c>
      <c r="B24" s="66" t="s">
        <v>70</v>
      </c>
      <c r="C24" s="67" t="s">
        <v>71</v>
      </c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spans="1:26" x14ac:dyDescent="0.25">
      <c r="A25" s="65" t="s">
        <v>72</v>
      </c>
      <c r="B25" s="66" t="s">
        <v>70</v>
      </c>
      <c r="C25" s="67" t="s">
        <v>71</v>
      </c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spans="1:26" x14ac:dyDescent="0.25">
      <c r="A26" s="71" t="s">
        <v>73</v>
      </c>
      <c r="B26" s="69" t="s">
        <v>74</v>
      </c>
      <c r="C26" s="70" t="s">
        <v>75</v>
      </c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spans="1:26" x14ac:dyDescent="0.25">
      <c r="A27" s="65" t="s">
        <v>74</v>
      </c>
      <c r="B27" s="66" t="s">
        <v>74</v>
      </c>
      <c r="C27" s="67" t="s">
        <v>75</v>
      </c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spans="1:26" x14ac:dyDescent="0.25">
      <c r="A28" s="65" t="s">
        <v>76</v>
      </c>
      <c r="B28" s="66" t="s">
        <v>74</v>
      </c>
      <c r="C28" s="67" t="s">
        <v>75</v>
      </c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spans="1:26" x14ac:dyDescent="0.25">
      <c r="A29" s="71" t="s">
        <v>77</v>
      </c>
      <c r="B29" s="69" t="s">
        <v>78</v>
      </c>
      <c r="C29" s="70" t="s">
        <v>79</v>
      </c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spans="1:26" x14ac:dyDescent="0.25">
      <c r="A30" s="65" t="s">
        <v>78</v>
      </c>
      <c r="B30" s="66" t="s">
        <v>78</v>
      </c>
      <c r="C30" s="67" t="s">
        <v>79</v>
      </c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spans="1:26" x14ac:dyDescent="0.25">
      <c r="A31" s="65" t="s">
        <v>80</v>
      </c>
      <c r="B31" s="66" t="s">
        <v>78</v>
      </c>
      <c r="C31" s="67" t="s">
        <v>79</v>
      </c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spans="1:26" x14ac:dyDescent="0.25">
      <c r="A32" s="71" t="s">
        <v>81</v>
      </c>
      <c r="B32" s="69" t="s">
        <v>82</v>
      </c>
      <c r="C32" s="70" t="s">
        <v>83</v>
      </c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spans="1:26" x14ac:dyDescent="0.25">
      <c r="A33" s="65" t="s">
        <v>82</v>
      </c>
      <c r="B33" s="66" t="s">
        <v>82</v>
      </c>
      <c r="C33" s="67" t="s">
        <v>83</v>
      </c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spans="1:26" x14ac:dyDescent="0.25">
      <c r="A34" s="65" t="s">
        <v>84</v>
      </c>
      <c r="B34" s="66" t="s">
        <v>82</v>
      </c>
      <c r="C34" s="67" t="s">
        <v>83</v>
      </c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spans="1:3" x14ac:dyDescent="0.25">
      <c r="A35" s="71" t="s">
        <v>85</v>
      </c>
      <c r="B35" s="69" t="s">
        <v>86</v>
      </c>
      <c r="C35" s="70" t="s">
        <v>87</v>
      </c>
    </row>
    <row r="36" spans="1:3" x14ac:dyDescent="0.25">
      <c r="A36" s="65" t="s">
        <v>86</v>
      </c>
      <c r="B36" s="66" t="s">
        <v>86</v>
      </c>
      <c r="C36" s="67" t="s">
        <v>87</v>
      </c>
    </row>
    <row r="37" spans="1:3" x14ac:dyDescent="0.25">
      <c r="A37" s="65" t="s">
        <v>88</v>
      </c>
      <c r="B37" s="66" t="s">
        <v>86</v>
      </c>
      <c r="C37" s="67" t="s">
        <v>87</v>
      </c>
    </row>
    <row r="38" spans="1:3" x14ac:dyDescent="0.25">
      <c r="A38" s="71" t="s">
        <v>89</v>
      </c>
      <c r="B38" s="69" t="s">
        <v>90</v>
      </c>
      <c r="C38" s="70" t="s">
        <v>91</v>
      </c>
    </row>
    <row r="39" spans="1:3" x14ac:dyDescent="0.25">
      <c r="A39" s="66" t="s">
        <v>90</v>
      </c>
      <c r="B39" s="66" t="s">
        <v>90</v>
      </c>
      <c r="C39" s="67" t="s">
        <v>91</v>
      </c>
    </row>
    <row r="40" spans="1:3" x14ac:dyDescent="0.25">
      <c r="A40" s="65" t="s">
        <v>92</v>
      </c>
      <c r="B40" s="66" t="s">
        <v>90</v>
      </c>
      <c r="C40" s="67" t="s">
        <v>91</v>
      </c>
    </row>
    <row r="41" spans="1:3" x14ac:dyDescent="0.25">
      <c r="A41" s="65" t="s">
        <v>93</v>
      </c>
      <c r="B41" s="66" t="s">
        <v>90</v>
      </c>
      <c r="C41" s="67" t="s">
        <v>91</v>
      </c>
    </row>
    <row r="42" spans="1:3" x14ac:dyDescent="0.25">
      <c r="A42" s="71" t="s">
        <v>94</v>
      </c>
      <c r="B42" s="69" t="s">
        <v>95</v>
      </c>
      <c r="C42" s="70" t="s">
        <v>96</v>
      </c>
    </row>
    <row r="43" spans="1:3" x14ac:dyDescent="0.25">
      <c r="A43" s="66" t="s">
        <v>95</v>
      </c>
      <c r="B43" s="66" t="s">
        <v>95</v>
      </c>
      <c r="C43" s="67" t="s">
        <v>96</v>
      </c>
    </row>
    <row r="44" spans="1:3" x14ac:dyDescent="0.25">
      <c r="A44" s="65" t="s">
        <v>97</v>
      </c>
      <c r="B44" s="66" t="s">
        <v>95</v>
      </c>
      <c r="C44" s="67" t="s">
        <v>96</v>
      </c>
    </row>
    <row r="45" spans="1:3" x14ac:dyDescent="0.25">
      <c r="A45" s="65" t="s">
        <v>98</v>
      </c>
      <c r="B45" s="66" t="s">
        <v>95</v>
      </c>
      <c r="C45" s="67" t="s">
        <v>96</v>
      </c>
    </row>
    <row r="46" spans="1:3" x14ac:dyDescent="0.25">
      <c r="A46" s="71" t="s">
        <v>99</v>
      </c>
      <c r="B46" s="69" t="s">
        <v>100</v>
      </c>
      <c r="C46" s="70" t="s">
        <v>101</v>
      </c>
    </row>
    <row r="47" spans="1:3" x14ac:dyDescent="0.25">
      <c r="A47" s="66" t="s">
        <v>100</v>
      </c>
      <c r="B47" s="66" t="s">
        <v>100</v>
      </c>
      <c r="C47" s="67" t="s">
        <v>101</v>
      </c>
    </row>
    <row r="48" spans="1:3" x14ac:dyDescent="0.25">
      <c r="A48" s="65" t="s">
        <v>102</v>
      </c>
      <c r="B48" s="66" t="s">
        <v>100</v>
      </c>
      <c r="C48" s="67" t="s">
        <v>101</v>
      </c>
    </row>
    <row r="49" spans="1:3" x14ac:dyDescent="0.25">
      <c r="A49" s="65" t="s">
        <v>103</v>
      </c>
      <c r="B49" s="66" t="s">
        <v>100</v>
      </c>
      <c r="C49" s="67" t="s">
        <v>101</v>
      </c>
    </row>
    <row r="50" spans="1:3" x14ac:dyDescent="0.25">
      <c r="A50" s="71" t="s">
        <v>104</v>
      </c>
      <c r="B50" s="69" t="s">
        <v>105</v>
      </c>
      <c r="C50" s="70" t="s">
        <v>106</v>
      </c>
    </row>
    <row r="51" spans="1:3" x14ac:dyDescent="0.25">
      <c r="A51" s="66" t="s">
        <v>105</v>
      </c>
      <c r="B51" s="66" t="s">
        <v>105</v>
      </c>
      <c r="C51" s="67" t="s">
        <v>106</v>
      </c>
    </row>
    <row r="52" spans="1:3" x14ac:dyDescent="0.25">
      <c r="A52" s="65" t="s">
        <v>107</v>
      </c>
      <c r="B52" s="66" t="s">
        <v>105</v>
      </c>
      <c r="C52" s="67" t="s">
        <v>106</v>
      </c>
    </row>
    <row r="53" spans="1:3" x14ac:dyDescent="0.25">
      <c r="A53" s="71" t="s">
        <v>108</v>
      </c>
      <c r="B53" s="69" t="s">
        <v>109</v>
      </c>
      <c r="C53" s="70" t="s">
        <v>110</v>
      </c>
    </row>
    <row r="54" spans="1:3" x14ac:dyDescent="0.25">
      <c r="A54" s="66" t="s">
        <v>109</v>
      </c>
      <c r="B54" s="66" t="s">
        <v>109</v>
      </c>
      <c r="C54" s="67" t="s">
        <v>110</v>
      </c>
    </row>
    <row r="55" spans="1:3" x14ac:dyDescent="0.25">
      <c r="A55" s="65" t="s">
        <v>111</v>
      </c>
      <c r="B55" s="66" t="s">
        <v>109</v>
      </c>
      <c r="C55" s="67" t="s">
        <v>110</v>
      </c>
    </row>
    <row r="56" spans="1:3" x14ac:dyDescent="0.25">
      <c r="A56" s="71" t="s">
        <v>112</v>
      </c>
      <c r="B56" s="69" t="s">
        <v>113</v>
      </c>
      <c r="C56" s="70" t="s">
        <v>114</v>
      </c>
    </row>
    <row r="57" spans="1:3" x14ac:dyDescent="0.25">
      <c r="A57" s="66" t="s">
        <v>113</v>
      </c>
      <c r="B57" s="66" t="s">
        <v>113</v>
      </c>
      <c r="C57" s="67" t="s">
        <v>114</v>
      </c>
    </row>
    <row r="58" spans="1:3" x14ac:dyDescent="0.25">
      <c r="A58" s="65" t="s">
        <v>115</v>
      </c>
      <c r="B58" s="66" t="s">
        <v>113</v>
      </c>
      <c r="C58" s="67" t="s">
        <v>114</v>
      </c>
    </row>
    <row r="59" spans="1:3" x14ac:dyDescent="0.25">
      <c r="A59" s="71" t="s">
        <v>116</v>
      </c>
      <c r="B59" s="69" t="s">
        <v>117</v>
      </c>
      <c r="C59" s="70" t="s">
        <v>118</v>
      </c>
    </row>
    <row r="60" spans="1:3" x14ac:dyDescent="0.25">
      <c r="A60" s="66" t="s">
        <v>117</v>
      </c>
      <c r="B60" s="66" t="s">
        <v>117</v>
      </c>
      <c r="C60" s="67" t="s">
        <v>118</v>
      </c>
    </row>
    <row r="61" spans="1:3" x14ac:dyDescent="0.25">
      <c r="A61" s="65" t="s">
        <v>119</v>
      </c>
      <c r="B61" s="66" t="s">
        <v>117</v>
      </c>
      <c r="C61" s="67" t="s">
        <v>118</v>
      </c>
    </row>
    <row r="62" spans="1:3" x14ac:dyDescent="0.25">
      <c r="A62" s="71" t="s">
        <v>120</v>
      </c>
      <c r="B62" s="69" t="s">
        <v>121</v>
      </c>
      <c r="C62" s="70" t="s">
        <v>122</v>
      </c>
    </row>
    <row r="63" spans="1:3" x14ac:dyDescent="0.25">
      <c r="A63" s="66" t="s">
        <v>121</v>
      </c>
      <c r="B63" s="66" t="s">
        <v>121</v>
      </c>
      <c r="C63" s="67" t="s">
        <v>122</v>
      </c>
    </row>
    <row r="64" spans="1:3" x14ac:dyDescent="0.25">
      <c r="A64" s="65" t="s">
        <v>123</v>
      </c>
      <c r="B64" s="66" t="s">
        <v>121</v>
      </c>
      <c r="C64" s="67" t="s">
        <v>122</v>
      </c>
    </row>
    <row r="65" spans="1:3" x14ac:dyDescent="0.25">
      <c r="A65" s="71" t="s">
        <v>124</v>
      </c>
      <c r="B65" s="69" t="s">
        <v>125</v>
      </c>
      <c r="C65" s="70" t="s">
        <v>126</v>
      </c>
    </row>
    <row r="66" spans="1:3" x14ac:dyDescent="0.25">
      <c r="A66" s="73" t="s">
        <v>125</v>
      </c>
      <c r="B66" s="73" t="s">
        <v>125</v>
      </c>
      <c r="C66" s="74" t="s">
        <v>126</v>
      </c>
    </row>
    <row r="67" spans="1:3" x14ac:dyDescent="0.25">
      <c r="A67" s="75" t="s">
        <v>127</v>
      </c>
      <c r="B67" s="73" t="s">
        <v>125</v>
      </c>
      <c r="C67" s="74" t="s">
        <v>126</v>
      </c>
    </row>
    <row r="68" spans="1:3" x14ac:dyDescent="0.25">
      <c r="A68" s="71" t="s">
        <v>128</v>
      </c>
      <c r="B68" s="69" t="s">
        <v>129</v>
      </c>
      <c r="C68" s="70" t="s">
        <v>130</v>
      </c>
    </row>
    <row r="69" spans="1:3" x14ac:dyDescent="0.25">
      <c r="A69" s="66" t="s">
        <v>129</v>
      </c>
      <c r="B69" s="66" t="s">
        <v>129</v>
      </c>
      <c r="C69" s="67" t="s">
        <v>130</v>
      </c>
    </row>
    <row r="70" spans="1:3" x14ac:dyDescent="0.25">
      <c r="A70" s="65" t="s">
        <v>131</v>
      </c>
      <c r="B70" s="66" t="s">
        <v>129</v>
      </c>
      <c r="C70" s="67" t="s">
        <v>130</v>
      </c>
    </row>
    <row r="71" spans="1:3" x14ac:dyDescent="0.25">
      <c r="A71" s="71" t="s">
        <v>132</v>
      </c>
      <c r="B71" s="69" t="s">
        <v>133</v>
      </c>
      <c r="C71" s="70" t="s">
        <v>134</v>
      </c>
    </row>
    <row r="72" spans="1:3" x14ac:dyDescent="0.25">
      <c r="A72" s="66" t="s">
        <v>133</v>
      </c>
      <c r="B72" s="66" t="s">
        <v>133</v>
      </c>
      <c r="C72" s="67" t="s">
        <v>134</v>
      </c>
    </row>
    <row r="73" spans="1:3" x14ac:dyDescent="0.25">
      <c r="A73" s="65" t="s">
        <v>135</v>
      </c>
      <c r="B73" s="66" t="s">
        <v>133</v>
      </c>
      <c r="C73" s="67" t="s">
        <v>134</v>
      </c>
    </row>
    <row r="74" spans="1:3" x14ac:dyDescent="0.25">
      <c r="A74" s="65" t="s">
        <v>136</v>
      </c>
      <c r="B74" s="66" t="s">
        <v>133</v>
      </c>
      <c r="C74" s="67" t="s">
        <v>134</v>
      </c>
    </row>
    <row r="75" spans="1:3" x14ac:dyDescent="0.25">
      <c r="A75" s="71" t="s">
        <v>137</v>
      </c>
      <c r="B75" s="69" t="s">
        <v>138</v>
      </c>
      <c r="C75" s="70" t="s">
        <v>139</v>
      </c>
    </row>
    <row r="76" spans="1:3" x14ac:dyDescent="0.25">
      <c r="A76" s="66" t="s">
        <v>138</v>
      </c>
      <c r="B76" s="66" t="s">
        <v>138</v>
      </c>
      <c r="C76" s="67" t="s">
        <v>139</v>
      </c>
    </row>
    <row r="77" spans="1:3" x14ac:dyDescent="0.25">
      <c r="A77" s="65" t="s">
        <v>140</v>
      </c>
      <c r="B77" s="66" t="s">
        <v>138</v>
      </c>
      <c r="C77" s="67" t="s">
        <v>139</v>
      </c>
    </row>
    <row r="78" spans="1:3" x14ac:dyDescent="0.25">
      <c r="A78" s="71" t="s">
        <v>141</v>
      </c>
      <c r="B78" s="69" t="s">
        <v>142</v>
      </c>
      <c r="C78" s="70" t="s">
        <v>143</v>
      </c>
    </row>
    <row r="79" spans="1:3" x14ac:dyDescent="0.25">
      <c r="A79" s="66" t="s">
        <v>142</v>
      </c>
      <c r="B79" s="66" t="s">
        <v>142</v>
      </c>
      <c r="C79" s="67" t="s">
        <v>143</v>
      </c>
    </row>
    <row r="80" spans="1:3" x14ac:dyDescent="0.25">
      <c r="A80" s="65" t="s">
        <v>144</v>
      </c>
      <c r="B80" s="66" t="s">
        <v>142</v>
      </c>
      <c r="C80" s="67" t="s">
        <v>143</v>
      </c>
    </row>
    <row r="81" spans="1:3" x14ac:dyDescent="0.25">
      <c r="A81" s="65" t="s">
        <v>145</v>
      </c>
      <c r="B81" s="66" t="s">
        <v>142</v>
      </c>
      <c r="C81" s="67" t="s">
        <v>143</v>
      </c>
    </row>
    <row r="82" spans="1:3" x14ac:dyDescent="0.25">
      <c r="A82" s="65" t="s">
        <v>146</v>
      </c>
      <c r="B82" s="66" t="s">
        <v>142</v>
      </c>
      <c r="C82" s="67" t="s">
        <v>143</v>
      </c>
    </row>
    <row r="83" spans="1:3" x14ac:dyDescent="0.25">
      <c r="A83" s="71" t="s">
        <v>147</v>
      </c>
      <c r="B83" s="69" t="s">
        <v>148</v>
      </c>
      <c r="C83" s="70" t="s">
        <v>149</v>
      </c>
    </row>
    <row r="84" spans="1:3" x14ac:dyDescent="0.25">
      <c r="A84" s="66" t="s">
        <v>148</v>
      </c>
      <c r="B84" s="66" t="s">
        <v>148</v>
      </c>
      <c r="C84" s="67" t="s">
        <v>149</v>
      </c>
    </row>
    <row r="85" spans="1:3" x14ac:dyDescent="0.25">
      <c r="A85" s="76" t="s">
        <v>150</v>
      </c>
      <c r="B85" s="66" t="s">
        <v>148</v>
      </c>
      <c r="C85" s="67" t="s">
        <v>149</v>
      </c>
    </row>
    <row r="86" spans="1:3" x14ac:dyDescent="0.25">
      <c r="A86" s="76" t="s">
        <v>151</v>
      </c>
      <c r="B86" s="66" t="s">
        <v>148</v>
      </c>
      <c r="C86" s="67" t="s">
        <v>149</v>
      </c>
    </row>
    <row r="87" spans="1:3" x14ac:dyDescent="0.25">
      <c r="A87" s="71" t="s">
        <v>152</v>
      </c>
      <c r="B87" s="69" t="s">
        <v>153</v>
      </c>
      <c r="C87" s="70" t="s">
        <v>154</v>
      </c>
    </row>
    <row r="88" spans="1:3" x14ac:dyDescent="0.25">
      <c r="A88" s="66" t="s">
        <v>153</v>
      </c>
      <c r="B88" s="66" t="s">
        <v>153</v>
      </c>
      <c r="C88" s="67" t="s">
        <v>154</v>
      </c>
    </row>
    <row r="89" spans="1:3" x14ac:dyDescent="0.25">
      <c r="A89" s="65" t="s">
        <v>155</v>
      </c>
      <c r="B89" s="66" t="s">
        <v>153</v>
      </c>
      <c r="C89" s="67" t="s">
        <v>154</v>
      </c>
    </row>
    <row r="90" spans="1:3" x14ac:dyDescent="0.25">
      <c r="A90" s="71" t="s">
        <v>156</v>
      </c>
      <c r="B90" s="69" t="s">
        <v>157</v>
      </c>
      <c r="C90" s="70" t="s">
        <v>158</v>
      </c>
    </row>
    <row r="91" spans="1:3" x14ac:dyDescent="0.25">
      <c r="A91" s="66" t="s">
        <v>157</v>
      </c>
      <c r="B91" s="66" t="s">
        <v>157</v>
      </c>
      <c r="C91" s="67" t="s">
        <v>158</v>
      </c>
    </row>
    <row r="92" spans="1:3" x14ac:dyDescent="0.25">
      <c r="A92" s="65" t="s">
        <v>159</v>
      </c>
      <c r="B92" s="66" t="s">
        <v>157</v>
      </c>
      <c r="C92" s="67" t="s">
        <v>158</v>
      </c>
    </row>
    <row r="93" spans="1:3" x14ac:dyDescent="0.25">
      <c r="A93" s="65" t="s">
        <v>160</v>
      </c>
      <c r="B93" s="66" t="s">
        <v>157</v>
      </c>
      <c r="C93" s="67" t="s">
        <v>158</v>
      </c>
    </row>
    <row r="94" spans="1:3" x14ac:dyDescent="0.25">
      <c r="A94" s="71" t="s">
        <v>161</v>
      </c>
      <c r="B94" s="69" t="s">
        <v>162</v>
      </c>
      <c r="C94" s="70" t="s">
        <v>163</v>
      </c>
    </row>
    <row r="95" spans="1:3" x14ac:dyDescent="0.25">
      <c r="A95" s="66" t="s">
        <v>162</v>
      </c>
      <c r="B95" s="66" t="s">
        <v>162</v>
      </c>
      <c r="C95" s="67" t="s">
        <v>163</v>
      </c>
    </row>
    <row r="96" spans="1:3" x14ac:dyDescent="0.25">
      <c r="A96" s="65" t="s">
        <v>164</v>
      </c>
      <c r="B96" s="66" t="s">
        <v>162</v>
      </c>
      <c r="C96" s="67" t="s">
        <v>163</v>
      </c>
    </row>
    <row r="97" spans="1:3" x14ac:dyDescent="0.25">
      <c r="A97" s="65" t="s">
        <v>165</v>
      </c>
      <c r="B97" s="66" t="s">
        <v>162</v>
      </c>
      <c r="C97" s="67" t="s">
        <v>163</v>
      </c>
    </row>
    <row r="98" spans="1:3" x14ac:dyDescent="0.25">
      <c r="A98" s="71" t="s">
        <v>166</v>
      </c>
      <c r="B98" s="69" t="s">
        <v>167</v>
      </c>
      <c r="C98" s="70" t="s">
        <v>168</v>
      </c>
    </row>
    <row r="99" spans="1:3" x14ac:dyDescent="0.25">
      <c r="A99" s="66" t="s">
        <v>167</v>
      </c>
      <c r="B99" s="66" t="s">
        <v>167</v>
      </c>
      <c r="C99" s="67" t="s">
        <v>168</v>
      </c>
    </row>
    <row r="100" spans="1:3" x14ac:dyDescent="0.25">
      <c r="A100" s="65" t="s">
        <v>169</v>
      </c>
      <c r="B100" s="66" t="s">
        <v>167</v>
      </c>
      <c r="C100" s="67" t="s">
        <v>168</v>
      </c>
    </row>
    <row r="101" spans="1:3" x14ac:dyDescent="0.25">
      <c r="A101" s="65" t="s">
        <v>170</v>
      </c>
      <c r="B101" s="66" t="s">
        <v>167</v>
      </c>
      <c r="C101" s="67" t="s">
        <v>168</v>
      </c>
    </row>
    <row r="102" spans="1:3" x14ac:dyDescent="0.25">
      <c r="A102" s="71" t="s">
        <v>171</v>
      </c>
      <c r="B102" s="69" t="s">
        <v>172</v>
      </c>
      <c r="C102" s="70" t="s">
        <v>173</v>
      </c>
    </row>
    <row r="103" spans="1:3" x14ac:dyDescent="0.25">
      <c r="A103" s="66" t="s">
        <v>172</v>
      </c>
      <c r="B103" s="66" t="s">
        <v>172</v>
      </c>
      <c r="C103" s="67" t="s">
        <v>173</v>
      </c>
    </row>
    <row r="104" spans="1:3" x14ac:dyDescent="0.25">
      <c r="A104" s="65" t="s">
        <v>174</v>
      </c>
      <c r="B104" s="66" t="s">
        <v>172</v>
      </c>
      <c r="C104" s="67" t="s">
        <v>173</v>
      </c>
    </row>
    <row r="105" spans="1:3" x14ac:dyDescent="0.25">
      <c r="A105" s="65" t="s">
        <v>175</v>
      </c>
      <c r="B105" s="66" t="s">
        <v>172</v>
      </c>
      <c r="C105" s="67" t="s">
        <v>173</v>
      </c>
    </row>
    <row r="106" spans="1:3" x14ac:dyDescent="0.25">
      <c r="A106" s="71" t="s">
        <v>176</v>
      </c>
      <c r="B106" s="69" t="s">
        <v>177</v>
      </c>
      <c r="C106" s="70" t="s">
        <v>178</v>
      </c>
    </row>
    <row r="107" spans="1:3" x14ac:dyDescent="0.25">
      <c r="A107" s="66" t="s">
        <v>177</v>
      </c>
      <c r="B107" s="66" t="s">
        <v>177</v>
      </c>
      <c r="C107" s="67" t="s">
        <v>178</v>
      </c>
    </row>
    <row r="108" spans="1:3" x14ac:dyDescent="0.25">
      <c r="A108" s="65" t="s">
        <v>179</v>
      </c>
      <c r="B108" s="66" t="s">
        <v>177</v>
      </c>
      <c r="C108" s="67" t="s">
        <v>178</v>
      </c>
    </row>
    <row r="109" spans="1:3" x14ac:dyDescent="0.25">
      <c r="A109" s="65" t="s">
        <v>180</v>
      </c>
      <c r="B109" s="66" t="s">
        <v>177</v>
      </c>
      <c r="C109" s="67" t="s">
        <v>178</v>
      </c>
    </row>
    <row r="110" spans="1:3" x14ac:dyDescent="0.25">
      <c r="A110" s="71" t="s">
        <v>181</v>
      </c>
      <c r="B110" s="69" t="s">
        <v>182</v>
      </c>
      <c r="C110" s="70" t="s">
        <v>183</v>
      </c>
    </row>
    <row r="111" spans="1:3" x14ac:dyDescent="0.25">
      <c r="A111" s="66" t="s">
        <v>182</v>
      </c>
      <c r="B111" s="66" t="s">
        <v>182</v>
      </c>
      <c r="C111" s="67" t="s">
        <v>183</v>
      </c>
    </row>
    <row r="112" spans="1:3" x14ac:dyDescent="0.25">
      <c r="A112" s="65" t="s">
        <v>184</v>
      </c>
      <c r="B112" s="66" t="s">
        <v>182</v>
      </c>
      <c r="C112" s="67" t="s">
        <v>183</v>
      </c>
    </row>
    <row r="113" spans="1:3" x14ac:dyDescent="0.25">
      <c r="A113" s="71" t="s">
        <v>185</v>
      </c>
      <c r="B113" s="69" t="s">
        <v>186</v>
      </c>
      <c r="C113" s="70" t="s">
        <v>187</v>
      </c>
    </row>
    <row r="114" spans="1:3" x14ac:dyDescent="0.25">
      <c r="A114" s="66" t="s">
        <v>186</v>
      </c>
      <c r="B114" s="66" t="s">
        <v>186</v>
      </c>
      <c r="C114" s="67" t="s">
        <v>187</v>
      </c>
    </row>
    <row r="115" spans="1:3" x14ac:dyDescent="0.25">
      <c r="A115" s="65" t="s">
        <v>188</v>
      </c>
      <c r="B115" s="66" t="s">
        <v>186</v>
      </c>
      <c r="C115" s="67" t="s">
        <v>187</v>
      </c>
    </row>
    <row r="116" spans="1:3" x14ac:dyDescent="0.25">
      <c r="A116" s="71" t="s">
        <v>189</v>
      </c>
      <c r="B116" s="69" t="s">
        <v>190</v>
      </c>
      <c r="C116" s="70" t="s">
        <v>191</v>
      </c>
    </row>
    <row r="117" spans="1:3" x14ac:dyDescent="0.25">
      <c r="A117" s="66" t="s">
        <v>190</v>
      </c>
      <c r="B117" s="66" t="s">
        <v>190</v>
      </c>
      <c r="C117" s="67" t="s">
        <v>191</v>
      </c>
    </row>
    <row r="118" spans="1:3" x14ac:dyDescent="0.25">
      <c r="A118" s="65" t="s">
        <v>192</v>
      </c>
      <c r="B118" s="66" t="s">
        <v>190</v>
      </c>
      <c r="C118" s="67" t="s">
        <v>191</v>
      </c>
    </row>
    <row r="119" spans="1:3" x14ac:dyDescent="0.25">
      <c r="A119" s="71" t="s">
        <v>193</v>
      </c>
      <c r="B119" s="69" t="s">
        <v>194</v>
      </c>
      <c r="C119" s="70" t="s">
        <v>195</v>
      </c>
    </row>
    <row r="120" spans="1:3" x14ac:dyDescent="0.25">
      <c r="A120" s="66" t="s">
        <v>194</v>
      </c>
      <c r="B120" s="66" t="s">
        <v>194</v>
      </c>
      <c r="C120" s="67" t="s">
        <v>195</v>
      </c>
    </row>
    <row r="121" spans="1:3" x14ac:dyDescent="0.25">
      <c r="A121" s="65" t="s">
        <v>196</v>
      </c>
      <c r="B121" s="66" t="s">
        <v>194</v>
      </c>
      <c r="C121" s="67" t="s">
        <v>195</v>
      </c>
    </row>
    <row r="122" spans="1:3" x14ac:dyDescent="0.25">
      <c r="A122" s="71" t="s">
        <v>197</v>
      </c>
      <c r="B122" s="69" t="s">
        <v>198</v>
      </c>
      <c r="C122" s="70" t="s">
        <v>199</v>
      </c>
    </row>
    <row r="123" spans="1:3" x14ac:dyDescent="0.25">
      <c r="A123" s="66" t="s">
        <v>198</v>
      </c>
      <c r="B123" s="66" t="s">
        <v>198</v>
      </c>
      <c r="C123" s="67" t="s">
        <v>199</v>
      </c>
    </row>
    <row r="124" spans="1:3" x14ac:dyDescent="0.25">
      <c r="A124" s="65" t="s">
        <v>200</v>
      </c>
      <c r="B124" s="66" t="s">
        <v>198</v>
      </c>
      <c r="C124" s="67" t="s">
        <v>199</v>
      </c>
    </row>
    <row r="125" spans="1:3" x14ac:dyDescent="0.25">
      <c r="A125" s="71" t="s">
        <v>201</v>
      </c>
      <c r="B125" s="69" t="s">
        <v>202</v>
      </c>
      <c r="C125" s="70" t="s">
        <v>203</v>
      </c>
    </row>
    <row r="126" spans="1:3" x14ac:dyDescent="0.25">
      <c r="A126" s="66" t="s">
        <v>202</v>
      </c>
      <c r="B126" s="66" t="s">
        <v>202</v>
      </c>
      <c r="C126" s="67" t="s">
        <v>203</v>
      </c>
    </row>
    <row r="127" spans="1:3" x14ac:dyDescent="0.25">
      <c r="A127" s="65" t="s">
        <v>204</v>
      </c>
      <c r="B127" s="66" t="s">
        <v>202</v>
      </c>
      <c r="C127" s="67" t="s">
        <v>203</v>
      </c>
    </row>
    <row r="128" spans="1:3" x14ac:dyDescent="0.25">
      <c r="A128" s="71" t="s">
        <v>205</v>
      </c>
      <c r="B128" s="69" t="s">
        <v>206</v>
      </c>
      <c r="C128" s="70" t="s">
        <v>207</v>
      </c>
    </row>
    <row r="129" spans="1:3" x14ac:dyDescent="0.25">
      <c r="A129" s="65" t="s">
        <v>206</v>
      </c>
      <c r="B129" s="66" t="s">
        <v>206</v>
      </c>
      <c r="C129" s="67" t="s">
        <v>207</v>
      </c>
    </row>
    <row r="130" spans="1:3" x14ac:dyDescent="0.25">
      <c r="A130" s="65" t="s">
        <v>208</v>
      </c>
      <c r="B130" s="66" t="s">
        <v>206</v>
      </c>
      <c r="C130" s="67" t="s">
        <v>207</v>
      </c>
    </row>
    <row r="131" spans="1:3" x14ac:dyDescent="0.25">
      <c r="A131" s="71" t="s">
        <v>209</v>
      </c>
      <c r="B131" s="69" t="s">
        <v>210</v>
      </c>
      <c r="C131" s="70" t="s">
        <v>211</v>
      </c>
    </row>
    <row r="132" spans="1:3" x14ac:dyDescent="0.25">
      <c r="A132" s="65" t="s">
        <v>210</v>
      </c>
      <c r="B132" s="66" t="s">
        <v>210</v>
      </c>
      <c r="C132" s="67" t="s">
        <v>211</v>
      </c>
    </row>
    <row r="133" spans="1:3" x14ac:dyDescent="0.25">
      <c r="A133" s="65" t="s">
        <v>212</v>
      </c>
      <c r="B133" s="66" t="s">
        <v>210</v>
      </c>
      <c r="C133" s="67" t="s">
        <v>211</v>
      </c>
    </row>
    <row r="134" spans="1:3" x14ac:dyDescent="0.25">
      <c r="A134" s="71" t="s">
        <v>213</v>
      </c>
      <c r="B134" s="69" t="s">
        <v>214</v>
      </c>
      <c r="C134" s="70" t="s">
        <v>215</v>
      </c>
    </row>
    <row r="135" spans="1:3" x14ac:dyDescent="0.25">
      <c r="A135" s="65" t="s">
        <v>214</v>
      </c>
      <c r="B135" s="66" t="s">
        <v>214</v>
      </c>
      <c r="C135" s="67" t="s">
        <v>215</v>
      </c>
    </row>
    <row r="136" spans="1:3" x14ac:dyDescent="0.25">
      <c r="A136" s="65" t="s">
        <v>216</v>
      </c>
      <c r="B136" s="66" t="s">
        <v>214</v>
      </c>
      <c r="C136" s="67" t="s">
        <v>215</v>
      </c>
    </row>
    <row r="137" spans="1:3" x14ac:dyDescent="0.25">
      <c r="A137" s="71" t="s">
        <v>217</v>
      </c>
      <c r="B137" s="69" t="s">
        <v>218</v>
      </c>
      <c r="C137" s="70" t="s">
        <v>219</v>
      </c>
    </row>
    <row r="138" spans="1:3" x14ac:dyDescent="0.25">
      <c r="A138" s="65" t="s">
        <v>218</v>
      </c>
      <c r="B138" s="66" t="s">
        <v>218</v>
      </c>
      <c r="C138" s="67" t="s">
        <v>219</v>
      </c>
    </row>
    <row r="139" spans="1:3" x14ac:dyDescent="0.25">
      <c r="A139" s="65" t="s">
        <v>220</v>
      </c>
      <c r="B139" s="66" t="s">
        <v>218</v>
      </c>
      <c r="C139" s="67" t="s">
        <v>219</v>
      </c>
    </row>
    <row r="140" spans="1:3" x14ac:dyDescent="0.25">
      <c r="A140" s="71" t="s">
        <v>221</v>
      </c>
      <c r="B140" s="69" t="s">
        <v>222</v>
      </c>
      <c r="C140" s="70" t="s">
        <v>223</v>
      </c>
    </row>
    <row r="141" spans="1:3" x14ac:dyDescent="0.25">
      <c r="A141" s="65" t="s">
        <v>222</v>
      </c>
      <c r="B141" s="66" t="s">
        <v>222</v>
      </c>
      <c r="C141" s="67" t="s">
        <v>223</v>
      </c>
    </row>
    <row r="142" spans="1:3" x14ac:dyDescent="0.25">
      <c r="A142" s="65" t="s">
        <v>224</v>
      </c>
      <c r="B142" s="66" t="s">
        <v>222</v>
      </c>
      <c r="C142" s="67" t="s">
        <v>223</v>
      </c>
    </row>
    <row r="143" spans="1:3" x14ac:dyDescent="0.25">
      <c r="A143" s="71" t="s">
        <v>225</v>
      </c>
      <c r="B143" s="69" t="s">
        <v>226</v>
      </c>
      <c r="C143" s="70" t="s">
        <v>227</v>
      </c>
    </row>
    <row r="144" spans="1:3" x14ac:dyDescent="0.25">
      <c r="A144" s="65" t="s">
        <v>226</v>
      </c>
      <c r="B144" s="66" t="s">
        <v>226</v>
      </c>
      <c r="C144" s="67" t="s">
        <v>227</v>
      </c>
    </row>
    <row r="145" spans="1:3" x14ac:dyDescent="0.25">
      <c r="A145" s="65" t="s">
        <v>228</v>
      </c>
      <c r="B145" s="66" t="s">
        <v>226</v>
      </c>
      <c r="C145" s="67" t="s">
        <v>227</v>
      </c>
    </row>
    <row r="146" spans="1:3" x14ac:dyDescent="0.25">
      <c r="A146" s="71" t="s">
        <v>229</v>
      </c>
      <c r="B146" s="69" t="s">
        <v>230</v>
      </c>
      <c r="C146" s="70" t="s">
        <v>231</v>
      </c>
    </row>
    <row r="147" spans="1:3" x14ac:dyDescent="0.25">
      <c r="A147" s="65" t="s">
        <v>230</v>
      </c>
      <c r="B147" s="66" t="s">
        <v>230</v>
      </c>
      <c r="C147" s="67" t="s">
        <v>231</v>
      </c>
    </row>
    <row r="148" spans="1:3" x14ac:dyDescent="0.25">
      <c r="A148" s="65" t="s">
        <v>232</v>
      </c>
      <c r="B148" s="66" t="s">
        <v>230</v>
      </c>
      <c r="C148" s="67" t="s">
        <v>231</v>
      </c>
    </row>
    <row r="149" spans="1:3" x14ac:dyDescent="0.25">
      <c r="A149" s="65" t="s">
        <v>229</v>
      </c>
      <c r="B149" s="66" t="s">
        <v>230</v>
      </c>
      <c r="C149" s="67" t="s">
        <v>231</v>
      </c>
    </row>
    <row r="150" spans="1:3" x14ac:dyDescent="0.25">
      <c r="A150" s="71" t="s">
        <v>233</v>
      </c>
      <c r="B150" s="69" t="s">
        <v>234</v>
      </c>
      <c r="C150" s="70" t="s">
        <v>235</v>
      </c>
    </row>
    <row r="151" spans="1:3" x14ac:dyDescent="0.25">
      <c r="A151" s="65" t="s">
        <v>234</v>
      </c>
      <c r="B151" s="66" t="s">
        <v>234</v>
      </c>
      <c r="C151" s="67" t="s">
        <v>235</v>
      </c>
    </row>
    <row r="152" spans="1:3" x14ac:dyDescent="0.25">
      <c r="A152" s="65" t="s">
        <v>236</v>
      </c>
      <c r="B152" s="66" t="s">
        <v>234</v>
      </c>
      <c r="C152" s="67" t="s">
        <v>235</v>
      </c>
    </row>
    <row r="153" spans="1:3" x14ac:dyDescent="0.25">
      <c r="A153" s="65" t="s">
        <v>237</v>
      </c>
      <c r="B153" s="66" t="s">
        <v>234</v>
      </c>
      <c r="C153" s="67" t="s">
        <v>235</v>
      </c>
    </row>
    <row r="154" spans="1:3" x14ac:dyDescent="0.25">
      <c r="A154" s="71" t="s">
        <v>238</v>
      </c>
      <c r="B154" s="69" t="s">
        <v>239</v>
      </c>
      <c r="C154" s="70" t="s">
        <v>240</v>
      </c>
    </row>
    <row r="155" spans="1:3" x14ac:dyDescent="0.25">
      <c r="A155" s="65" t="s">
        <v>239</v>
      </c>
      <c r="B155" s="66" t="s">
        <v>239</v>
      </c>
      <c r="C155" s="67" t="s">
        <v>240</v>
      </c>
    </row>
    <row r="156" spans="1:3" x14ac:dyDescent="0.25">
      <c r="A156" s="65" t="s">
        <v>241</v>
      </c>
      <c r="B156" s="66" t="s">
        <v>239</v>
      </c>
      <c r="C156" s="67" t="s">
        <v>240</v>
      </c>
    </row>
    <row r="157" spans="1:3" x14ac:dyDescent="0.25">
      <c r="A157" s="71" t="s">
        <v>242</v>
      </c>
      <c r="B157" s="69" t="s">
        <v>243</v>
      </c>
      <c r="C157" s="70" t="s">
        <v>244</v>
      </c>
    </row>
    <row r="158" spans="1:3" x14ac:dyDescent="0.25">
      <c r="A158" s="65" t="s">
        <v>243</v>
      </c>
      <c r="B158" s="66" t="s">
        <v>243</v>
      </c>
      <c r="C158" s="67" t="s">
        <v>244</v>
      </c>
    </row>
    <row r="159" spans="1:3" x14ac:dyDescent="0.25">
      <c r="A159" s="65" t="s">
        <v>245</v>
      </c>
      <c r="B159" s="66" t="s">
        <v>243</v>
      </c>
      <c r="C159" s="67" t="s">
        <v>244</v>
      </c>
    </row>
    <row r="160" spans="1:3" x14ac:dyDescent="0.25">
      <c r="A160" s="71" t="s">
        <v>246</v>
      </c>
      <c r="B160" s="69" t="s">
        <v>247</v>
      </c>
      <c r="C160" s="70" t="s">
        <v>248</v>
      </c>
    </row>
    <row r="161" spans="1:3" x14ac:dyDescent="0.25">
      <c r="A161" s="65" t="s">
        <v>247</v>
      </c>
      <c r="B161" s="66" t="s">
        <v>247</v>
      </c>
      <c r="C161" s="67" t="s">
        <v>248</v>
      </c>
    </row>
    <row r="162" spans="1:3" x14ac:dyDescent="0.25">
      <c r="A162" s="65" t="s">
        <v>136</v>
      </c>
      <c r="B162" s="66" t="s">
        <v>247</v>
      </c>
      <c r="C162" s="67" t="s">
        <v>248</v>
      </c>
    </row>
    <row r="163" spans="1:3" x14ac:dyDescent="0.25">
      <c r="A163" s="71" t="s">
        <v>249</v>
      </c>
      <c r="B163" s="69" t="s">
        <v>250</v>
      </c>
      <c r="C163" s="70" t="s">
        <v>251</v>
      </c>
    </row>
    <row r="164" spans="1:3" x14ac:dyDescent="0.25">
      <c r="A164" s="65" t="s">
        <v>250</v>
      </c>
      <c r="B164" s="66" t="s">
        <v>250</v>
      </c>
      <c r="C164" s="67" t="s">
        <v>251</v>
      </c>
    </row>
    <row r="165" spans="1:3" x14ac:dyDescent="0.25">
      <c r="A165" s="65" t="s">
        <v>252</v>
      </c>
      <c r="B165" s="66" t="s">
        <v>250</v>
      </c>
      <c r="C165" s="67" t="s">
        <v>251</v>
      </c>
    </row>
    <row r="166" spans="1:3" x14ac:dyDescent="0.25">
      <c r="A166" s="71" t="s">
        <v>253</v>
      </c>
      <c r="B166" s="69" t="s">
        <v>254</v>
      </c>
      <c r="C166" s="70" t="s">
        <v>255</v>
      </c>
    </row>
    <row r="167" spans="1:3" x14ac:dyDescent="0.25">
      <c r="A167" s="65" t="s">
        <v>254</v>
      </c>
      <c r="B167" s="66" t="s">
        <v>254</v>
      </c>
      <c r="C167" s="67" t="s">
        <v>255</v>
      </c>
    </row>
    <row r="168" spans="1:3" x14ac:dyDescent="0.25">
      <c r="A168" s="65" t="s">
        <v>256</v>
      </c>
      <c r="B168" s="66" t="s">
        <v>254</v>
      </c>
      <c r="C168" s="67" t="s">
        <v>255</v>
      </c>
    </row>
    <row r="169" spans="1:3" x14ac:dyDescent="0.25">
      <c r="A169" s="71" t="s">
        <v>257</v>
      </c>
      <c r="B169" s="69" t="s">
        <v>258</v>
      </c>
      <c r="C169" s="70" t="s">
        <v>259</v>
      </c>
    </row>
    <row r="170" spans="1:3" x14ac:dyDescent="0.25">
      <c r="A170" s="66" t="s">
        <v>258</v>
      </c>
      <c r="B170" s="66" t="s">
        <v>258</v>
      </c>
      <c r="C170" s="67" t="s">
        <v>259</v>
      </c>
    </row>
    <row r="171" spans="1:3" x14ac:dyDescent="0.25">
      <c r="A171" s="65" t="s">
        <v>260</v>
      </c>
      <c r="B171" s="66" t="s">
        <v>258</v>
      </c>
      <c r="C171" s="67" t="s">
        <v>259</v>
      </c>
    </row>
    <row r="172" spans="1:3" x14ac:dyDescent="0.25">
      <c r="A172" s="71" t="s">
        <v>261</v>
      </c>
      <c r="B172" s="69" t="s">
        <v>262</v>
      </c>
      <c r="C172" s="70" t="s">
        <v>263</v>
      </c>
    </row>
    <row r="173" spans="1:3" x14ac:dyDescent="0.25">
      <c r="A173" s="66" t="s">
        <v>262</v>
      </c>
      <c r="B173" s="66" t="s">
        <v>262</v>
      </c>
      <c r="C173" s="67" t="s">
        <v>263</v>
      </c>
    </row>
    <row r="174" spans="1:3" x14ac:dyDescent="0.25">
      <c r="A174" s="65" t="s">
        <v>264</v>
      </c>
      <c r="B174" s="66" t="s">
        <v>262</v>
      </c>
      <c r="C174" s="67" t="s">
        <v>263</v>
      </c>
    </row>
    <row r="175" spans="1:3" x14ac:dyDescent="0.25">
      <c r="A175" s="65" t="s">
        <v>265</v>
      </c>
      <c r="B175" s="66" t="s">
        <v>262</v>
      </c>
      <c r="C175" s="67" t="s">
        <v>263</v>
      </c>
    </row>
    <row r="176" spans="1:3" x14ac:dyDescent="0.25">
      <c r="A176" s="71" t="s">
        <v>266</v>
      </c>
      <c r="B176" s="69" t="s">
        <v>267</v>
      </c>
      <c r="C176" s="70" t="s">
        <v>268</v>
      </c>
    </row>
    <row r="177" spans="1:3" x14ac:dyDescent="0.25">
      <c r="A177" s="66" t="s">
        <v>267</v>
      </c>
      <c r="B177" s="66" t="s">
        <v>267</v>
      </c>
      <c r="C177" s="67" t="s">
        <v>268</v>
      </c>
    </row>
    <row r="178" spans="1:3" x14ac:dyDescent="0.25">
      <c r="A178" s="65" t="s">
        <v>269</v>
      </c>
      <c r="B178" s="66" t="s">
        <v>267</v>
      </c>
      <c r="C178" s="67" t="s">
        <v>268</v>
      </c>
    </row>
    <row r="179" spans="1:3" x14ac:dyDescent="0.25">
      <c r="A179" s="71" t="s">
        <v>270</v>
      </c>
      <c r="B179" s="69" t="s">
        <v>271</v>
      </c>
      <c r="C179" s="70" t="s">
        <v>272</v>
      </c>
    </row>
    <row r="180" spans="1:3" x14ac:dyDescent="0.25">
      <c r="A180" s="66" t="s">
        <v>271</v>
      </c>
      <c r="B180" s="66" t="s">
        <v>271</v>
      </c>
      <c r="C180" s="67" t="s">
        <v>272</v>
      </c>
    </row>
    <row r="181" spans="1:3" x14ac:dyDescent="0.25">
      <c r="A181" s="77" t="s">
        <v>273</v>
      </c>
      <c r="B181" s="66" t="s">
        <v>271</v>
      </c>
      <c r="C181" s="67" t="s">
        <v>272</v>
      </c>
    </row>
    <row r="182" spans="1:3" x14ac:dyDescent="0.25">
      <c r="A182" s="71" t="s">
        <v>274</v>
      </c>
      <c r="B182" s="69" t="s">
        <v>275</v>
      </c>
      <c r="C182" s="70" t="s">
        <v>276</v>
      </c>
    </row>
    <row r="183" spans="1:3" x14ac:dyDescent="0.25">
      <c r="A183" s="65" t="s">
        <v>275</v>
      </c>
      <c r="B183" s="66" t="s">
        <v>275</v>
      </c>
      <c r="C183" s="67" t="s">
        <v>276</v>
      </c>
    </row>
    <row r="184" spans="1:3" x14ac:dyDescent="0.25">
      <c r="A184" s="65" t="s">
        <v>277</v>
      </c>
      <c r="B184" s="66" t="s">
        <v>275</v>
      </c>
      <c r="C184" s="67" t="s">
        <v>276</v>
      </c>
    </row>
    <row r="185" spans="1:3" x14ac:dyDescent="0.25">
      <c r="A185" s="65" t="s">
        <v>278</v>
      </c>
      <c r="B185" s="66" t="s">
        <v>275</v>
      </c>
      <c r="C185" s="67" t="s">
        <v>276</v>
      </c>
    </row>
    <row r="186" spans="1:3" x14ac:dyDescent="0.25">
      <c r="A186" s="78" t="s">
        <v>279</v>
      </c>
      <c r="B186" s="79" t="s">
        <v>275</v>
      </c>
      <c r="C186" s="80" t="s">
        <v>276</v>
      </c>
    </row>
    <row r="187" ht="58.5" customHeight="1" spans="1:3" x14ac:dyDescent="0.25">
      <c r="A187" s="81" t="s">
        <v>280</v>
      </c>
      <c r="B187" s="82"/>
      <c r="C187" s="83"/>
    </row>
  </sheetData>
  <mergeCells count="2">
    <mergeCell ref="A2:C2"/>
    <mergeCell ref="A187:C187"/>
  </mergeCell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87"/>
  <sheetViews>
    <sheetView workbookViewId="0" zoomScale="100" zoomScaleNormal="100"/>
  </sheetViews>
  <sheetFormatPr defaultRowHeight="15" outlineLevelRow="0" outlineLevelCol="0" x14ac:dyDescent="0" defaultColWidth="14.43"/>
  <cols>
    <col min="1" max="1" width="57.43" customWidth="1"/>
    <col min="4" max="4" width="19.71" customWidth="1"/>
    <col min="5" max="5" width="64.86" customWidth="1"/>
  </cols>
  <sheetData>
    <row r="1" ht="54" customHeight="1" spans="1:4" x14ac:dyDescent="0.25">
      <c r="A1" s="84" t="s">
        <v>281</v>
      </c>
      <c r="B1" s="85" t="s">
        <v>282</v>
      </c>
      <c r="C1" s="85" t="s">
        <v>283</v>
      </c>
      <c r="D1" s="86" t="s">
        <v>284</v>
      </c>
    </row>
    <row r="2" spans="1:4" x14ac:dyDescent="0.25">
      <c r="A2" s="5" t="str">
        <f>IFERROR(__xludf.DUMMYFUNCTION("IFERROR(VLOOKUP(TRIM(TO_TEXT(D2)), ITEM_MASTER!A:C, 3, FALSE), ""NOT FOUND"")"),"Pokemon Card Game Scarlet &amp; Violet 151 sv2a Booster Box")</f>
        <v>Pokemon Card Game Scarlet &amp; Violet 151 sv2a Booster Box</v>
      </c>
      <c r="D2" s="5">
        <v>151</v>
      </c>
    </row>
    <row r="3" spans="1:1" x14ac:dyDescent="0.25">
      <c r="A3" s="5" t="str">
        <f>IFERROR(__xludf.DUMMYFUNCTION("IFERROR(VLOOKUP(TRIM(TO_TEXT(D3)), ITEM_MASTER!A:C, 3, FALSE), ""NOT FOUND"")"),"NOT FOUND")</f>
        <v>NOT FOUND</v>
      </c>
    </row>
    <row r="4" spans="1:1" x14ac:dyDescent="0.25">
      <c r="A4" s="5" t="str">
        <f>IFERROR(__xludf.DUMMYFUNCTION("IFERROR(VLOOKUP(TRIM(TO_TEXT(D4)), ITEM_MASTER!A:C, 3, FALSE), ""NOT FOUND"")"),"NOT FOUND")</f>
        <v>NOT FOUND</v>
      </c>
    </row>
    <row r="5" spans="1:4" x14ac:dyDescent="0.25">
      <c r="A5" s="5" t="str">
        <f>IFERROR(__xludf.DUMMYFUNCTION("IFERROR(VLOOKUP(TRIM(TO_TEXT(D5)), ITEM_MASTER!A:C, 3, FALSE), ""NOT FOUND"")"),"Pokemon Card Game Sword &amp; Shield Lost Abyss s11 Booster Box")</f>
        <v>Pokemon Card Game Sword &amp; Shield Lost Abyss s11 Booster Box</v>
      </c>
      <c r="D5" s="5" t="s">
        <v>285</v>
      </c>
    </row>
    <row r="6" spans="1:1" x14ac:dyDescent="0.25">
      <c r="A6" s="5" t="str">
        <f>IFERROR(__xludf.DUMMYFUNCTION("IFERROR(VLOOKUP(TRIM(TO_TEXT(D6)), ITEM_MASTER!A:C, 3, FALSE), ""NOT FOUND"")"),"NOT FOUND")</f>
        <v>NOT FOUND</v>
      </c>
    </row>
    <row r="7" spans="1:4" x14ac:dyDescent="0.25">
      <c r="A7" s="5" t="str">
        <f>IFERROR(__xludf.DUMMYFUNCTION("IFERROR(VLOOKUP(TRIM(TO_TEXT(D7)), ITEM_MASTER!A:C, 3, FALSE), ""NOT FOUND"")"),"Pokemon Card Game Scarlet &amp; Violet Clay Burst sv2d Booster Box")</f>
        <v>Pokemon Card Game Scarlet &amp; Violet Clay Burst sv2d Booster Box</v>
      </c>
      <c r="D7" s="5" t="s">
        <v>286</v>
      </c>
    </row>
    <row r="8" spans="1:4" x14ac:dyDescent="0.25">
      <c r="A8" s="5" t="str">
        <f>IFERROR(__xludf.DUMMYFUNCTION("IFERROR(VLOOKUP(TRIM(TO_TEXT(D8)), ITEM_MASTER!A:C, 3, FALSE), ""NOT FOUND"")"),"Pokemon Card Game Sword &amp; Shield VSTAR Universe s12a")</f>
        <v>Pokemon Card Game Sword &amp; Shield VSTAR Universe s12a</v>
      </c>
      <c r="D8" s="5" t="s">
        <v>165</v>
      </c>
    </row>
    <row r="9" spans="1:4" x14ac:dyDescent="0.25">
      <c r="A9" s="5" t="str">
        <f>IFERROR(__xludf.DUMMYFUNCTION("IFERROR(VLOOKUP(TRIM(TO_TEXT(D9)), ITEM_MASTER!A:C, 3, FALSE), ""NOT FOUND"")"),"Pokemon Card Game Scarlet &amp; Violet 151 sv2a Booster Box")</f>
        <v>Pokemon Card Game Scarlet &amp; Violet 151 sv2a Booster Box</v>
      </c>
      <c r="D9" s="5">
        <v>151</v>
      </c>
    </row>
    <row r="10" spans="1:1" x14ac:dyDescent="0.25">
      <c r="A10" s="5" t="str">
        <f>IFERROR(__xludf.DUMMYFUNCTION("IFERROR(VLOOKUP(TRIM(TO_TEXT(D10)), ITEM_MASTER!A:C, 3, FALSE), ""NOT FOUND"")"),"NOT FOUND")</f>
        <v>NOT FOUND</v>
      </c>
    </row>
    <row r="11" spans="1:1" x14ac:dyDescent="0.25">
      <c r="A11" s="5" t="str">
        <f>IFERROR(__xludf.DUMMYFUNCTION("IFERROR(VLOOKUP(TRIM(TO_TEXT(D11)), ITEM_MASTER!A:C, 3, FALSE), ""NOT FOUND"")"),"NOT FOUND")</f>
        <v>NOT FOUND</v>
      </c>
    </row>
    <row r="12" spans="1:1" x14ac:dyDescent="0.25">
      <c r="A12" s="5" t="str">
        <f>IFERROR(__xludf.DUMMYFUNCTION("IFERROR(VLOOKUP(TRIM(TO_TEXT(D12)), ITEM_MASTER!A:C, 3, FALSE), ""NOT FOUND"")"),"NOT FOUND")</f>
        <v>NOT FOUND</v>
      </c>
    </row>
    <row r="13" spans="1:1" x14ac:dyDescent="0.25">
      <c r="A13" s="5" t="str">
        <f>IFERROR(__xludf.DUMMYFUNCTION("IFERROR(VLOOKUP(TRIM(TO_TEXT(D13)), ITEM_MASTER!A:C, 3, FALSE), ""NOT FOUND"")"),"NOT FOUND")</f>
        <v>NOT FOUND</v>
      </c>
    </row>
    <row r="14" spans="1:1" x14ac:dyDescent="0.25">
      <c r="A14" s="5" t="str">
        <f>IFERROR(__xludf.DUMMYFUNCTION("IFERROR(VLOOKUP(TRIM(TO_TEXT(D14)), ITEM_MASTER!A:C, 3, FALSE), ""NOT FOUND"")"),"NOT FOUND")</f>
        <v>NOT FOUND</v>
      </c>
    </row>
    <row r="15" spans="1:1" x14ac:dyDescent="0.25">
      <c r="A15" s="5" t="str">
        <f>IFERROR(__xludf.DUMMYFUNCTION("IFERROR(VLOOKUP(TRIM(TO_TEXT(D15)), ITEM_MASTER!A:C, 3, FALSE), ""NOT FOUND"")"),"NOT FOUND")</f>
        <v>NOT FOUND</v>
      </c>
    </row>
    <row r="16" spans="1:1" x14ac:dyDescent="0.25">
      <c r="A16" s="5" t="str">
        <f>IFERROR(__xludf.DUMMYFUNCTION("IFERROR(VLOOKUP(TRIM(TO_TEXT(D16)), ITEM_MASTER!A:C, 3, FALSE), ""NOT FOUND"")"),"NOT FOUND")</f>
        <v>NOT FOUND</v>
      </c>
    </row>
    <row r="17" spans="1:1" x14ac:dyDescent="0.25">
      <c r="A17" s="5" t="str">
        <f>IFERROR(__xludf.DUMMYFUNCTION("IFERROR(VLOOKUP(TRIM(TO_TEXT(D17)), ITEM_MASTER!A:C, 3, FALSE), ""NOT FOUND"")"),"NOT FOUND")</f>
        <v>NOT FOUND</v>
      </c>
    </row>
    <row r="18" spans="1:1" x14ac:dyDescent="0.25">
      <c r="A18" s="5" t="str">
        <f>IFERROR(__xludf.DUMMYFUNCTION("IFERROR(VLOOKUP(TRIM(TO_TEXT(D18)), ITEM_MASTER!A:C, 3, FALSE), ""NOT FOUND"")"),"NOT FOUND")</f>
        <v>NOT FOUND</v>
      </c>
    </row>
    <row r="19" spans="1:1" x14ac:dyDescent="0.25">
      <c r="A19" s="5" t="str">
        <f>IFERROR(__xludf.DUMMYFUNCTION("IFERROR(VLOOKUP(TRIM(TO_TEXT(D19)), ITEM_MASTER!A:C, 3, FALSE), ""NOT FOUND"")"),"NOT FOUND")</f>
        <v>NOT FOUND</v>
      </c>
    </row>
    <row r="20" spans="1:1" x14ac:dyDescent="0.25">
      <c r="A20" s="5" t="str">
        <f>IFERROR(__xludf.DUMMYFUNCTION("IFERROR(VLOOKUP(TRIM(TO_TEXT(D20)), ITEM_MASTER!A:C, 3, FALSE), ""NOT FOUND"")"),"NOT FOUND")</f>
        <v>NOT FOUND</v>
      </c>
    </row>
    <row r="21" spans="1:1" x14ac:dyDescent="0.25">
      <c r="A21" s="5" t="str">
        <f>IFERROR(__xludf.DUMMYFUNCTION("IFERROR(VLOOKUP(TRIM(TO_TEXT(D21)), ITEM_MASTER!A:C, 3, FALSE), ""NOT FOUND"")"),"NOT FOUND")</f>
        <v>NOT FOUND</v>
      </c>
    </row>
    <row r="22" spans="1:1" x14ac:dyDescent="0.25">
      <c r="A22" s="5" t="str">
        <f>IFERROR(__xludf.DUMMYFUNCTION("IFERROR(VLOOKUP(TRIM(TO_TEXT(D22)), ITEM_MASTER!A:C, 3, FALSE), ""NOT FOUND"")"),"NOT FOUND")</f>
        <v>NOT FOUND</v>
      </c>
    </row>
    <row r="23" spans="1:1" x14ac:dyDescent="0.25">
      <c r="A23" s="5" t="str">
        <f>IFERROR(__xludf.DUMMYFUNCTION("IFERROR(VLOOKUP(TRIM(TO_TEXT(D23)), ITEM_MASTER!A:C, 3, FALSE), ""NOT FOUND"")"),"NOT FOUND")</f>
        <v>NOT FOUND</v>
      </c>
    </row>
    <row r="24" spans="1:1" x14ac:dyDescent="0.25">
      <c r="A24" s="5" t="str">
        <f>IFERROR(__xludf.DUMMYFUNCTION("IFERROR(VLOOKUP(TRIM(TO_TEXT(D24)), ITEM_MASTER!A:C, 3, FALSE), ""NOT FOUND"")"),"NOT FOUND")</f>
        <v>NOT FOUND</v>
      </c>
    </row>
    <row r="25" spans="1:1" x14ac:dyDescent="0.25">
      <c r="A25" s="5" t="str">
        <f>IFERROR(__xludf.DUMMYFUNCTION("IFERROR(VLOOKUP(TRIM(TO_TEXT(D25)), ITEM_MASTER!A:C, 3, FALSE), ""NOT FOUND"")"),"NOT FOUND")</f>
        <v>NOT FOUND</v>
      </c>
    </row>
    <row r="26" spans="1:1" x14ac:dyDescent="0.25">
      <c r="A26" s="5" t="str">
        <f>IFERROR(__xludf.DUMMYFUNCTION("IFERROR(VLOOKUP(TRIM(TO_TEXT(D26)), ITEM_MASTER!A:C, 3, FALSE), ""NOT FOUND"")"),"NOT FOUND")</f>
        <v>NOT FOUND</v>
      </c>
    </row>
    <row r="27" spans="1:1" x14ac:dyDescent="0.25">
      <c r="A27" s="5" t="str">
        <f>IFERROR(__xludf.DUMMYFUNCTION("IFERROR(VLOOKUP(TRIM(TO_TEXT(D27)), ITEM_MASTER!A:C, 3, FALSE), ""NOT FOUND"")"),"NOT FOUND")</f>
        <v>NOT FOUND</v>
      </c>
    </row>
    <row r="28" spans="1:1" x14ac:dyDescent="0.25">
      <c r="A28" s="5" t="str">
        <f>IFERROR(__xludf.DUMMYFUNCTION("IFERROR(VLOOKUP(TRIM(TO_TEXT(D28)), ITEM_MASTER!A:C, 3, FALSE), ""NOT FOUND"")"),"NOT FOUND")</f>
        <v>NOT FOUND</v>
      </c>
    </row>
    <row r="29" spans="1:1" x14ac:dyDescent="0.25">
      <c r="A29" s="5" t="str">
        <f>IFERROR(__xludf.DUMMYFUNCTION("IFERROR(VLOOKUP(TRIM(TO_TEXT(D29)), ITEM_MASTER!A:C, 3, FALSE), ""NOT FOUND"")"),"NOT FOUND")</f>
        <v>NOT FOUND</v>
      </c>
    </row>
    <row r="30" spans="1:1" x14ac:dyDescent="0.25">
      <c r="A30" s="5" t="str">
        <f>IFERROR(__xludf.DUMMYFUNCTION("IFERROR(VLOOKUP(TRIM(TO_TEXT(D30)), ITEM_MASTER!A:C, 3, FALSE), ""NOT FOUND"")"),"NOT FOUND")</f>
        <v>NOT FOUND</v>
      </c>
    </row>
    <row r="31" spans="1:1" x14ac:dyDescent="0.25">
      <c r="A31" s="5" t="str">
        <f>IFERROR(__xludf.DUMMYFUNCTION("IFERROR(VLOOKUP(TRIM(TO_TEXT(D31)), ITEM_MASTER!A:C, 3, FALSE), ""NOT FOUND"")"),"NOT FOUND")</f>
        <v>NOT FOUND</v>
      </c>
    </row>
    <row r="32" spans="1:1" x14ac:dyDescent="0.25">
      <c r="A32" s="5" t="str">
        <f>IFERROR(__xludf.DUMMYFUNCTION("IFERROR(VLOOKUP(TRIM(TO_TEXT(D32)), ITEM_MASTER!A:C, 3, FALSE), ""NOT FOUND"")"),"NOT FOUND")</f>
        <v>NOT FOUND</v>
      </c>
    </row>
    <row r="33" spans="1:1" x14ac:dyDescent="0.25">
      <c r="A33" s="5" t="str">
        <f>IFERROR(__xludf.DUMMYFUNCTION("IFERROR(VLOOKUP(TRIM(TO_TEXT(D33)), ITEM_MASTER!A:C, 3, FALSE), ""NOT FOUND"")"),"NOT FOUND")</f>
        <v>NOT FOUND</v>
      </c>
    </row>
    <row r="34" spans="1:1" x14ac:dyDescent="0.25">
      <c r="A34" s="5" t="str">
        <f>IFERROR(__xludf.DUMMYFUNCTION("IFERROR(VLOOKUP(TRIM(TO_TEXT(D34)), ITEM_MASTER!A:C, 3, FALSE), ""NOT FOUND"")"),"NOT FOUND")</f>
        <v>NOT FOUND</v>
      </c>
    </row>
    <row r="35" spans="1:1" x14ac:dyDescent="0.25">
      <c r="A35" s="5" t="str">
        <f>IFERROR(__xludf.DUMMYFUNCTION("IFERROR(VLOOKUP(TRIM(TO_TEXT(D35)), ITEM_MASTER!A:C, 3, FALSE), ""NOT FOUND"")"),"NOT FOUND")</f>
        <v>NOT FOUND</v>
      </c>
    </row>
    <row r="36" spans="1:1" x14ac:dyDescent="0.25">
      <c r="A36" s="5" t="str">
        <f>IFERROR(__xludf.DUMMYFUNCTION("IFERROR(VLOOKUP(TRIM(TO_TEXT(D36)), ITEM_MASTER!A:C, 3, FALSE), ""NOT FOUND"")"),"NOT FOUND")</f>
        <v>NOT FOUND</v>
      </c>
    </row>
    <row r="37" spans="1:1" x14ac:dyDescent="0.25">
      <c r="A37" s="5" t="str">
        <f>IFERROR(__xludf.DUMMYFUNCTION("IFERROR(VLOOKUP(TRIM(TO_TEXT(D37)), ITEM_MASTER!A:C, 3, FALSE), ""NOT FOUND"")"),"NOT FOUND")</f>
        <v>NOT FOUND</v>
      </c>
    </row>
    <row r="38" spans="1:1" x14ac:dyDescent="0.25">
      <c r="A38" s="5" t="str">
        <f>IFERROR(__xludf.DUMMYFUNCTION("IFERROR(VLOOKUP(TRIM(TO_TEXT(D38)), ITEM_MASTER!A:C, 3, FALSE), ""NOT FOUND"")"),"NOT FOUND")</f>
        <v>NOT FOUND</v>
      </c>
    </row>
    <row r="39" spans="1:1" x14ac:dyDescent="0.25">
      <c r="A39" s="5" t="str">
        <f>IFERROR(__xludf.DUMMYFUNCTION("IFERROR(VLOOKUP(TRIM(TO_TEXT(D39)), ITEM_MASTER!A:C, 3, FALSE), ""NOT FOUND"")"),"NOT FOUND")</f>
        <v>NOT FOUND</v>
      </c>
    </row>
    <row r="40" spans="1:1" x14ac:dyDescent="0.25">
      <c r="A40" s="5" t="str">
        <f>IFERROR(__xludf.DUMMYFUNCTION("IFERROR(VLOOKUP(TRIM(TO_TEXT(D40)), ITEM_MASTER!A:C, 3, FALSE), ""NOT FOUND"")"),"NOT FOUND")</f>
        <v>NOT FOUND</v>
      </c>
    </row>
    <row r="41" spans="1:1" x14ac:dyDescent="0.25">
      <c r="A41" s="5" t="str">
        <f>IFERROR(__xludf.DUMMYFUNCTION("IFERROR(VLOOKUP(TRIM(TO_TEXT(D41)), ITEM_MASTER!A:C, 3, FALSE), ""NOT FOUND"")"),"NOT FOUND")</f>
        <v>NOT FOUND</v>
      </c>
    </row>
    <row r="42" spans="1:1" x14ac:dyDescent="0.25">
      <c r="A42" s="5" t="str">
        <f>IFERROR(__xludf.DUMMYFUNCTION("IFERROR(VLOOKUP(TRIM(TO_TEXT(D42)), ITEM_MASTER!A:C, 3, FALSE), ""NOT FOUND"")"),"NOT FOUND")</f>
        <v>NOT FOUND</v>
      </c>
    </row>
    <row r="43" spans="1:1" x14ac:dyDescent="0.25">
      <c r="A43" s="5" t="str">
        <f>IFERROR(__xludf.DUMMYFUNCTION("IFERROR(VLOOKUP(TRIM(TO_TEXT(D43)), ITEM_MASTER!A:C, 3, FALSE), ""NOT FOUND"")"),"NOT FOUND")</f>
        <v>NOT FOUND</v>
      </c>
    </row>
    <row r="44" spans="1:1" x14ac:dyDescent="0.25">
      <c r="A44" s="5" t="str">
        <f>IFERROR(__xludf.DUMMYFUNCTION("IFERROR(VLOOKUP(TRIM(TO_TEXT(D44)), ITEM_MASTER!A:C, 3, FALSE), ""NOT FOUND"")"),"NOT FOUND")</f>
        <v>NOT FOUND</v>
      </c>
    </row>
    <row r="45" spans="1:1" x14ac:dyDescent="0.25">
      <c r="A45" s="5" t="str">
        <f>IFERROR(__xludf.DUMMYFUNCTION("IFERROR(VLOOKUP(TRIM(TO_TEXT(D45)), ITEM_MASTER!A:C, 3, FALSE), ""NOT FOUND"")"),"NOT FOUND")</f>
        <v>NOT FOUND</v>
      </c>
    </row>
    <row r="46" spans="1:1" x14ac:dyDescent="0.25">
      <c r="A46" s="5" t="str">
        <f>IFERROR(__xludf.DUMMYFUNCTION("IFERROR(VLOOKUP(TRIM(TO_TEXT(D46)), ITEM_MASTER!A:C, 3, FALSE), ""NOT FOUND"")"),"NOT FOUND")</f>
        <v>NOT FOUND</v>
      </c>
    </row>
    <row r="47" spans="1:1" x14ac:dyDescent="0.25">
      <c r="A47" s="5" t="str">
        <f>IFERROR(__xludf.DUMMYFUNCTION("IFERROR(VLOOKUP(TRIM(TO_TEXT(D47)), ITEM_MASTER!A:C, 3, FALSE), ""NOT FOUND"")"),"NOT FOUND")</f>
        <v>NOT FOUND</v>
      </c>
    </row>
    <row r="48" spans="1:1" x14ac:dyDescent="0.25">
      <c r="A48" s="5" t="str">
        <f>IFERROR(__xludf.DUMMYFUNCTION("IFERROR(VLOOKUP(TRIM(TO_TEXT(D48)), ITEM_MASTER!A:C, 3, FALSE), ""NOT FOUND"")"),"NOT FOUND")</f>
        <v>NOT FOUND</v>
      </c>
    </row>
    <row r="49" spans="1:1" x14ac:dyDescent="0.25">
      <c r="A49" s="5" t="str">
        <f>IFERROR(__xludf.DUMMYFUNCTION("IFERROR(VLOOKUP(TRIM(TO_TEXT(D49)), ITEM_MASTER!A:C, 3, FALSE), ""NOT FOUND"")"),"NOT FOUND")</f>
        <v>NOT FOUND</v>
      </c>
    </row>
    <row r="50" spans="1:1" x14ac:dyDescent="0.25">
      <c r="A50" s="5" t="str">
        <f>IFERROR(__xludf.DUMMYFUNCTION("IFERROR(VLOOKUP(TRIM(TO_TEXT(D50)), ITEM_MASTER!A:C, 3, FALSE), ""NOT FOUND"")"),"NOT FOUND")</f>
        <v>NOT FOUND</v>
      </c>
    </row>
    <row r="51" spans="1:1" x14ac:dyDescent="0.25">
      <c r="A51" s="5" t="str">
        <f>IFERROR(__xludf.DUMMYFUNCTION("IFERROR(VLOOKUP(TRIM(TO_TEXT(D51)), ITEM_MASTER!A:C, 3, FALSE), ""NOT FOUND"")"),"NOT FOUND")</f>
        <v>NOT FOUND</v>
      </c>
    </row>
    <row r="52" spans="1:1" x14ac:dyDescent="0.25">
      <c r="A52" s="5" t="str">
        <f>IFERROR(__xludf.DUMMYFUNCTION("IFERROR(VLOOKUP(TRIM(TO_TEXT(D52)), ITEM_MASTER!A:C, 3, FALSE), ""NOT FOUND"")"),"NOT FOUND")</f>
        <v>NOT FOUND</v>
      </c>
    </row>
    <row r="53" spans="1:1" x14ac:dyDescent="0.25">
      <c r="A53" s="5" t="str">
        <f>IFERROR(__xludf.DUMMYFUNCTION("IFERROR(VLOOKUP(TRIM(TO_TEXT(D53)), ITEM_MASTER!A:C, 3, FALSE), ""NOT FOUND"")"),"NOT FOUND")</f>
        <v>NOT FOUND</v>
      </c>
    </row>
    <row r="54" spans="1:1" x14ac:dyDescent="0.25">
      <c r="A54" s="5" t="str">
        <f>IFERROR(__xludf.DUMMYFUNCTION("IFERROR(VLOOKUP(TRIM(TO_TEXT(D54)), ITEM_MASTER!A:C, 3, FALSE), ""NOT FOUND"")"),"NOT FOUND")</f>
        <v>NOT FOUND</v>
      </c>
    </row>
    <row r="55" spans="1:1" x14ac:dyDescent="0.25">
      <c r="A55" s="5" t="str">
        <f>IFERROR(__xludf.DUMMYFUNCTION("IFERROR(VLOOKUP(TRIM(TO_TEXT(D55)), ITEM_MASTER!A:C, 3, FALSE), ""NOT FOUND"")"),"NOT FOUND")</f>
        <v>NOT FOUND</v>
      </c>
    </row>
    <row r="56" spans="1:1" x14ac:dyDescent="0.25">
      <c r="A56" s="5" t="str">
        <f>IFERROR(__xludf.DUMMYFUNCTION("IFERROR(VLOOKUP(TRIM(TO_TEXT(D56)), ITEM_MASTER!A:C, 3, FALSE), ""NOT FOUND"")"),"NOT FOUND")</f>
        <v>NOT FOUND</v>
      </c>
    </row>
    <row r="57" spans="1:1" x14ac:dyDescent="0.25">
      <c r="A57" s="5" t="str">
        <f>IFERROR(__xludf.DUMMYFUNCTION("IFERROR(VLOOKUP(TRIM(TO_TEXT(D57)), ITEM_MASTER!A:C, 3, FALSE), ""NOT FOUND"")"),"NOT FOUND")</f>
        <v>NOT FOUND</v>
      </c>
    </row>
    <row r="58" spans="1:1" x14ac:dyDescent="0.25">
      <c r="A58" s="5" t="str">
        <f>IFERROR(__xludf.DUMMYFUNCTION("IFERROR(VLOOKUP(TRIM(TO_TEXT(D58)), ITEM_MASTER!A:C, 3, FALSE), ""NOT FOUND"")"),"NOT FOUND")</f>
        <v>NOT FOUND</v>
      </c>
    </row>
    <row r="59" spans="1:1" x14ac:dyDescent="0.25">
      <c r="A59" s="5" t="str">
        <f>IFERROR(__xludf.DUMMYFUNCTION("IFERROR(VLOOKUP(TRIM(TO_TEXT(D59)), ITEM_MASTER!A:C, 3, FALSE), ""NOT FOUND"")"),"NOT FOUND")</f>
        <v>NOT FOUND</v>
      </c>
    </row>
    <row r="60" spans="1:1" x14ac:dyDescent="0.25">
      <c r="A60" s="5" t="str">
        <f>IFERROR(__xludf.DUMMYFUNCTION("IFERROR(VLOOKUP(TRIM(TO_TEXT(D60)), ITEM_MASTER!A:C, 3, FALSE), ""NOT FOUND"")"),"NOT FOUND")</f>
        <v>NOT FOUND</v>
      </c>
    </row>
    <row r="61" spans="1:1" x14ac:dyDescent="0.25">
      <c r="A61" s="5" t="str">
        <f>IFERROR(__xludf.DUMMYFUNCTION("IFERROR(VLOOKUP(TRIM(TO_TEXT(D61)), ITEM_MASTER!A:C, 3, FALSE), ""NOT FOUND"")"),"NOT FOUND")</f>
        <v>NOT FOUND</v>
      </c>
    </row>
    <row r="62" spans="1:1" x14ac:dyDescent="0.25">
      <c r="A62" s="5" t="str">
        <f>IFERROR(__xludf.DUMMYFUNCTION("IFERROR(VLOOKUP(TRIM(TO_TEXT(D62)), ITEM_MASTER!A:C, 3, FALSE), ""NOT FOUND"")"),"NOT FOUND")</f>
        <v>NOT FOUND</v>
      </c>
    </row>
    <row r="63" spans="1:1" x14ac:dyDescent="0.25">
      <c r="A63" s="5" t="str">
        <f>IFERROR(__xludf.DUMMYFUNCTION("IFERROR(VLOOKUP(TRIM(TO_TEXT(D63)), ITEM_MASTER!A:C, 3, FALSE), ""NOT FOUND"")"),"NOT FOUND")</f>
        <v>NOT FOUND</v>
      </c>
    </row>
    <row r="64" spans="1:1" x14ac:dyDescent="0.25">
      <c r="A64" s="5" t="str">
        <f>IFERROR(__xludf.DUMMYFUNCTION("IFERROR(VLOOKUP(TRIM(TO_TEXT(D64)), ITEM_MASTER!A:C, 3, FALSE), ""NOT FOUND"")"),"NOT FOUND")</f>
        <v>NOT FOUND</v>
      </c>
    </row>
    <row r="65" spans="1:1" x14ac:dyDescent="0.25">
      <c r="A65" s="5" t="str">
        <f>IFERROR(__xludf.DUMMYFUNCTION("IFERROR(VLOOKUP(TRIM(TO_TEXT(D65)), ITEM_MASTER!A:C, 3, FALSE), ""NOT FOUND"")"),"NOT FOUND")</f>
        <v>NOT FOUND</v>
      </c>
    </row>
    <row r="66" spans="1:1" x14ac:dyDescent="0.25">
      <c r="A66" s="5" t="str">
        <f>IFERROR(__xludf.DUMMYFUNCTION("IFERROR(VLOOKUP(TRIM(TO_TEXT(D66)), ITEM_MASTER!A:C, 3, FALSE), ""NOT FOUND"")"),"NOT FOUND")</f>
        <v>NOT FOUND</v>
      </c>
    </row>
    <row r="67" spans="1:1" x14ac:dyDescent="0.25">
      <c r="A67" s="5" t="str">
        <f>IFERROR(__xludf.DUMMYFUNCTION("IFERROR(VLOOKUP(TRIM(TO_TEXT(D67)), ITEM_MASTER!A:C, 3, FALSE), ""NOT FOUND"")"),"NOT FOUND")</f>
        <v>NOT FOUND</v>
      </c>
    </row>
    <row r="68" spans="1:1" x14ac:dyDescent="0.25">
      <c r="A68" s="5" t="str">
        <f>IFERROR(__xludf.DUMMYFUNCTION("IFERROR(VLOOKUP(TRIM(TO_TEXT(D68)), ITEM_MASTER!A:C, 3, FALSE), ""NOT FOUND"")"),"NOT FOUND")</f>
        <v>NOT FOUND</v>
      </c>
    </row>
    <row r="69" spans="1:1" x14ac:dyDescent="0.25">
      <c r="A69" s="5" t="str">
        <f>IFERROR(__xludf.DUMMYFUNCTION("IFERROR(VLOOKUP(TRIM(TO_TEXT(D69)), ITEM_MASTER!A:C, 3, FALSE), ""NOT FOUND"")"),"NOT FOUND")</f>
        <v>NOT FOUND</v>
      </c>
    </row>
    <row r="70" spans="1:1" x14ac:dyDescent="0.25">
      <c r="A70" s="5" t="str">
        <f>IFERROR(__xludf.DUMMYFUNCTION("IFERROR(VLOOKUP(TRIM(TO_TEXT(D70)), ITEM_MASTER!A:C, 3, FALSE), ""NOT FOUND"")"),"NOT FOUND")</f>
        <v>NOT FOUND</v>
      </c>
    </row>
    <row r="71" spans="1:1" x14ac:dyDescent="0.25">
      <c r="A71" s="5" t="str">
        <f>IFERROR(__xludf.DUMMYFUNCTION("IFERROR(VLOOKUP(TRIM(TO_TEXT(D71)), ITEM_MASTER!A:C, 3, FALSE), ""NOT FOUND"")"),"NOT FOUND")</f>
        <v>NOT FOUND</v>
      </c>
    </row>
    <row r="72" spans="1:1" x14ac:dyDescent="0.25">
      <c r="A72" s="5" t="str">
        <f>IFERROR(__xludf.DUMMYFUNCTION("IFERROR(VLOOKUP(TRIM(TO_TEXT(D72)), ITEM_MASTER!A:C, 3, FALSE), ""NOT FOUND"")"),"NOT FOUND")</f>
        <v>NOT FOUND</v>
      </c>
    </row>
    <row r="73" spans="1:1" x14ac:dyDescent="0.25">
      <c r="A73" s="5" t="str">
        <f>IFERROR(__xludf.DUMMYFUNCTION("IFERROR(VLOOKUP(TRIM(TO_TEXT(D73)), ITEM_MASTER!A:C, 3, FALSE), ""NOT FOUND"")"),"NOT FOUND")</f>
        <v>NOT FOUND</v>
      </c>
    </row>
    <row r="74" spans="1:1" x14ac:dyDescent="0.25">
      <c r="A74" s="5" t="str">
        <f>IFERROR(__xludf.DUMMYFUNCTION("IFERROR(VLOOKUP(TRIM(TO_TEXT(D74)), ITEM_MASTER!A:C, 3, FALSE), ""NOT FOUND"")"),"NOT FOUND")</f>
        <v>NOT FOUND</v>
      </c>
    </row>
    <row r="75" spans="1:1" x14ac:dyDescent="0.25">
      <c r="A75" s="5" t="str">
        <f>IFERROR(__xludf.DUMMYFUNCTION("IFERROR(VLOOKUP(TRIM(TO_TEXT(D75)), ITEM_MASTER!A:C, 3, FALSE), ""NOT FOUND"")"),"NOT FOUND")</f>
        <v>NOT FOUND</v>
      </c>
    </row>
    <row r="76" spans="1:1" x14ac:dyDescent="0.25">
      <c r="A76" s="5" t="str">
        <f>IFERROR(__xludf.DUMMYFUNCTION("IFERROR(VLOOKUP(TRIM(TO_TEXT(D76)), ITEM_MASTER!A:C, 3, FALSE), ""NOT FOUND"")"),"NOT FOUND")</f>
        <v>NOT FOUND</v>
      </c>
    </row>
    <row r="77" spans="1:1" x14ac:dyDescent="0.25">
      <c r="A77" s="5" t="str">
        <f>IFERROR(__xludf.DUMMYFUNCTION("IFERROR(VLOOKUP(TRIM(TO_TEXT(D77)), ITEM_MASTER!A:C, 3, FALSE), ""NOT FOUND"")"),"NOT FOUND")</f>
        <v>NOT FOUND</v>
      </c>
    </row>
    <row r="78" spans="1:1" x14ac:dyDescent="0.25">
      <c r="A78" s="5" t="str">
        <f>IFERROR(__xludf.DUMMYFUNCTION("IFERROR(VLOOKUP(TRIM(TO_TEXT(D78)), ITEM_MASTER!A:C, 3, FALSE), ""NOT FOUND"")"),"NOT FOUND")</f>
        <v>NOT FOUND</v>
      </c>
    </row>
    <row r="79" spans="1:1" x14ac:dyDescent="0.25">
      <c r="A79" s="5" t="str">
        <f>IFERROR(__xludf.DUMMYFUNCTION("IFERROR(VLOOKUP(TRIM(TO_TEXT(D79)), ITEM_MASTER!A:C, 3, FALSE), ""NOT FOUND"")"),"NOT FOUND")</f>
        <v>NOT FOUND</v>
      </c>
    </row>
    <row r="80" spans="1:1" x14ac:dyDescent="0.25">
      <c r="A80" s="5" t="str">
        <f>IFERROR(__xludf.DUMMYFUNCTION("IFERROR(VLOOKUP(TRIM(TO_TEXT(D80)), ITEM_MASTER!A:C, 3, FALSE), ""NOT FOUND"")"),"NOT FOUND")</f>
        <v>NOT FOUND</v>
      </c>
    </row>
    <row r="81" spans="1:1" x14ac:dyDescent="0.25">
      <c r="A81" s="5" t="str">
        <f>IFERROR(__xludf.DUMMYFUNCTION("IFERROR(VLOOKUP(TRIM(TO_TEXT(D81)), ITEM_MASTER!A:C, 3, FALSE), ""NOT FOUND"")"),"NOT FOUND")</f>
        <v>NOT FOUND</v>
      </c>
    </row>
    <row r="82" spans="1:1" x14ac:dyDescent="0.25">
      <c r="A82" s="5" t="str">
        <f>IFERROR(__xludf.DUMMYFUNCTION("IFERROR(VLOOKUP(TRIM(TO_TEXT(D82)), ITEM_MASTER!A:C, 3, FALSE), ""NOT FOUND"")"),"NOT FOUND")</f>
        <v>NOT FOUND</v>
      </c>
    </row>
    <row r="83" spans="1:1" x14ac:dyDescent="0.25">
      <c r="A83" s="5" t="str">
        <f>IFERROR(__xludf.DUMMYFUNCTION("IFERROR(VLOOKUP(TRIM(TO_TEXT(D83)), ITEM_MASTER!A:C, 3, FALSE), ""NOT FOUND"")"),"NOT FOUND")</f>
        <v>NOT FOUND</v>
      </c>
    </row>
    <row r="84" spans="1:1" x14ac:dyDescent="0.25">
      <c r="A84" s="5" t="str">
        <f>IFERROR(__xludf.DUMMYFUNCTION("IFERROR(VLOOKUP(TRIM(TO_TEXT(D84)), ITEM_MASTER!A:C, 3, FALSE), ""NOT FOUND"")"),"NOT FOUND")</f>
        <v>NOT FOUND</v>
      </c>
    </row>
    <row r="85" spans="1:1" x14ac:dyDescent="0.25">
      <c r="A85" s="5" t="str">
        <f>IFERROR(__xludf.DUMMYFUNCTION("IFERROR(VLOOKUP(TRIM(TO_TEXT(D85)), ITEM_MASTER!A:C, 3, FALSE), ""NOT FOUND"")"),"NOT FOUND")</f>
        <v>NOT FOUND</v>
      </c>
    </row>
    <row r="86" spans="1:1" x14ac:dyDescent="0.25">
      <c r="A86" s="5" t="str">
        <f>IFERROR(__xludf.DUMMYFUNCTION("IFERROR(VLOOKUP(TRIM(TO_TEXT(D86)), ITEM_MASTER!A:C, 3, FALSE), ""NOT FOUND"")"),"NOT FOUND")</f>
        <v>NOT FOUND</v>
      </c>
    </row>
    <row r="87" spans="1:1" x14ac:dyDescent="0.25">
      <c r="A87" s="5" t="str">
        <f>IFERROR(__xludf.DUMMYFUNCTION("IFERROR(VLOOKUP(TRIM(TO_TEXT(D87)), ITEM_MASTER!A:C, 3, FALSE), ""NOT FOUND"")"),"NOT FOUND")</f>
        <v>NOT FOUND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MASTER</vt:lpstr>
      <vt:lpstr>ITEM_MASTER</vt:lpstr>
      <vt:lpstr>INPUT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2026-04-24T14:38:28Z</dcterms:created>
  <dcterms:modified xsi:type="dcterms:W3CDTF">2026-04-24T14:38:28Z</dcterms:modified>
</cp:coreProperties>
</file>